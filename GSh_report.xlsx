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Configuration" sheetId="1" r:id="rId4"/>
    <sheet state="visible" name="LIB" sheetId="2" r:id="rId5"/>
    <sheet state="visible" name="Report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K1">
      <text>
        <t xml:space="preserve">возврат инвестиций
	-Alexandra Messner</t>
      </text>
    </comment>
    <comment authorId="0" ref="M1">
      <text>
        <t xml:space="preserve">доход с клика
	-Alexandra Messner</t>
      </text>
    </comment>
  </commentList>
</comments>
</file>

<file path=xl/sharedStrings.xml><?xml version="1.0" encoding="utf-8"?>
<sst xmlns="http://schemas.openxmlformats.org/spreadsheetml/2006/main" count="94" uniqueCount="58">
  <si>
    <t>Configuration Options</t>
  </si>
  <si>
    <t>Your Google Analytics Reports</t>
  </si>
  <si>
    <t>Report Name</t>
  </si>
  <si>
    <t>LIB</t>
  </si>
  <si>
    <t>View ID</t>
  </si>
  <si>
    <t>Start Date</t>
  </si>
  <si>
    <t>30daysAgo</t>
  </si>
  <si>
    <t>End Date</t>
  </si>
  <si>
    <t>yesterday</t>
  </si>
  <si>
    <t>Metrics</t>
  </si>
  <si>
    <t>ga:users,ga:bounceRate,ga:impressions,ga:adClicks,ga:adCost,ga:pageviews</t>
  </si>
  <si>
    <t>Dimensions</t>
  </si>
  <si>
    <t>ga:sourceMedium,ga:date</t>
  </si>
  <si>
    <t>Order</t>
  </si>
  <si>
    <t>Filters</t>
  </si>
  <si>
    <t>ga:sourceMedium==google / cpc</t>
  </si>
  <si>
    <t>Segments</t>
  </si>
  <si>
    <t>Limit</t>
  </si>
  <si>
    <t>Spreadsheet URL</t>
  </si>
  <si>
    <t>Skip Report</t>
  </si>
  <si>
    <t>Report Type</t>
  </si>
  <si>
    <t>Sampling Level</t>
  </si>
  <si>
    <t>Use Resource Quotas</t>
  </si>
  <si>
    <t>Exclude Empty Rows</t>
  </si>
  <si>
    <t>For help with this add-on:</t>
  </si>
  <si>
    <t>https://developers.google.com/analytics/solutions/google-analytics-spreadsheet-add-on</t>
  </si>
  <si>
    <t>Last Run On</t>
  </si>
  <si>
    <t>View Name</t>
  </si>
  <si>
    <t>www.libresse.ru</t>
  </si>
  <si>
    <t>Total Results Found</t>
  </si>
  <si>
    <t>Total Results Returned</t>
  </si>
  <si>
    <t>Contains Sampled Data</t>
  </si>
  <si>
    <t>No</t>
  </si>
  <si>
    <t>Totals For All Results</t>
  </si>
  <si>
    <t>Users</t>
  </si>
  <si>
    <t>Bounce Rate</t>
  </si>
  <si>
    <t>Impressions</t>
  </si>
  <si>
    <t>Clicks</t>
  </si>
  <si>
    <t>Cost</t>
  </si>
  <si>
    <t>Pageviews</t>
  </si>
  <si>
    <t>Results Breakdown</t>
  </si>
  <si>
    <t>Source / Medium</t>
  </si>
  <si>
    <t>Date</t>
  </si>
  <si>
    <t>google / cpc</t>
  </si>
  <si>
    <t>источник</t>
  </si>
  <si>
    <t>дата</t>
  </si>
  <si>
    <t>расход</t>
  </si>
  <si>
    <t>расход с НДС</t>
  </si>
  <si>
    <t>показы</t>
  </si>
  <si>
    <t>клики</t>
  </si>
  <si>
    <t>CTR</t>
  </si>
  <si>
    <t>CPC</t>
  </si>
  <si>
    <t>Доход(в источнике нет, рисую от болды)</t>
  </si>
  <si>
    <t>CR</t>
  </si>
  <si>
    <t>ROMI</t>
  </si>
  <si>
    <t>CPA</t>
  </si>
  <si>
    <t>RPC</t>
  </si>
  <si>
    <t>% отказа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</si>
</sst>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&quot;$&quot;#,##0.00"/>
    <numFmt numFmtId="166" formatCode="yyyy-mm-dd"/>
  </numFmts>
  <fonts count="14">
    <font>
      <sz val="10.0"/>
      <color rgb="FF000000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b/>
      <sz val="10.0"/>
      <color rgb="FF444444"/>
      <name val="Arial"/>
    </font>
    <font>
      <sz val="10.0"/>
      <color rgb="FF444444"/>
      <name val="Arial"/>
    </font>
    <font>
      <sz val="10.0"/>
      <color theme="1"/>
      <name val="Arial"/>
    </font>
    <font>
      <sz val="9.0"/>
      <color rgb="FF444444"/>
      <name val="Arial"/>
    </font>
    <font>
      <u/>
      <sz val="9.0"/>
      <color rgb="FF0000FF"/>
      <name val="Arial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</font>
    <font>
      <u/>
      <sz val="9.0"/>
      <color rgb="FF0000FF"/>
    </font>
    <font>
      <b/>
      <sz val="11.0"/>
      <color rgb="FFFFFFFF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D90FF"/>
        <bgColor rgb="FF4D90FF"/>
      </patternFill>
    </fill>
    <fill>
      <patternFill patternType="solid">
        <fgColor rgb="FFF4F4F4"/>
        <bgColor rgb="FFF4F4F4"/>
      </patternFill>
    </fill>
    <fill>
      <patternFill patternType="solid">
        <fgColor rgb="FF444444"/>
        <bgColor rgb="FF444444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horizontal="left" readingOrder="0" shrinkToFit="0" wrapText="1"/>
    </xf>
    <xf borderId="0" fillId="4" fontId="3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4" fontId="5" numFmtId="0" xfId="0" applyFont="1"/>
    <xf borderId="0" fillId="0" fontId="6" numFmtId="0" xfId="0" applyAlignment="1" applyFont="1">
      <alignment horizontal="right" readingOrder="0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left" readingOrder="0" shrinkToFit="0" wrapText="1"/>
    </xf>
    <xf borderId="0" fillId="0" fontId="9" numFmtId="164" xfId="0" applyAlignment="1" applyFont="1" applyNumberFormat="1">
      <alignment horizontal="left" readingOrder="0" shrinkToFit="0" wrapText="1"/>
    </xf>
    <xf borderId="0" fillId="0" fontId="10" numFmtId="10" xfId="0" applyFont="1" applyNumberFormat="1"/>
    <xf borderId="0" fillId="0" fontId="10" numFmtId="165" xfId="0" applyFont="1" applyNumberFormat="1"/>
    <xf borderId="0" fillId="0" fontId="11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wrapText="1"/>
    </xf>
    <xf borderId="0" fillId="0" fontId="9" numFmtId="0" xfId="0" applyAlignment="1" applyFont="1">
      <alignment horizontal="left" shrinkToFit="0" wrapText="1"/>
    </xf>
    <xf borderId="0" fillId="5" fontId="12" numFmtId="0" xfId="0" applyAlignment="1" applyFill="1" applyFont="1">
      <alignment readingOrder="0" vertical="center"/>
    </xf>
    <xf borderId="0" fillId="4" fontId="13" numFmtId="0" xfId="0" applyAlignment="1" applyFont="1">
      <alignment horizontal="right"/>
    </xf>
    <xf borderId="0" fillId="4" fontId="13" numFmtId="0" xfId="0" applyAlignment="1" applyFont="1">
      <alignment horizontal="right" readingOrder="0"/>
    </xf>
    <xf borderId="0" fillId="4" fontId="13" numFmtId="165" xfId="0" applyAlignment="1" applyFont="1" applyNumberFormat="1">
      <alignment horizontal="right" readingOrder="0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10" xfId="0" applyAlignment="1" applyFont="1" applyNumberFormat="1">
      <alignment readingOrder="0" shrinkToFit="0" wrapText="1"/>
    </xf>
    <xf borderId="0" fillId="0" fontId="10" numFmtId="165" xfId="0" applyAlignment="1" applyFont="1" applyNumberFormat="1">
      <alignment readingOrder="0" shrinkToFit="0" wrapText="1"/>
    </xf>
    <xf borderId="0" fillId="4" fontId="13" numFmtId="0" xfId="0" applyAlignment="1" applyFont="1">
      <alignment readingOrder="0"/>
    </xf>
    <xf borderId="0" fillId="4" fontId="13" numFmtId="0" xfId="0" applyFont="1"/>
    <xf borderId="0" fillId="0" fontId="10" numFmtId="166" xfId="0" applyAlignment="1" applyFont="1" applyNumberFormat="1">
      <alignment readingOrder="0" shrinkToFit="0" wrapText="1"/>
    </xf>
    <xf borderId="0" fillId="6" fontId="13" numFmtId="0" xfId="0" applyAlignment="1" applyFill="1" applyFont="1">
      <alignment readingOrder="0"/>
    </xf>
    <xf borderId="0" fillId="0" fontId="13" numFmtId="0" xfId="0" applyFont="1"/>
    <xf borderId="0" fillId="0" fontId="10" numFmtId="0" xfId="0" applyFont="1"/>
    <xf borderId="0" fillId="0" fontId="10" numFmtId="166" xfId="0" applyFont="1" applyNumberFormat="1"/>
    <xf borderId="0" fillId="0" fontId="1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google.com/analytics/solutions/google-analytics-spreadsheet-add-o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bresse.ru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32.29"/>
    <col customWidth="1" min="2" max="26" width="25.14"/>
  </cols>
  <sheetData>
    <row r="1" ht="27.0" customHeight="1">
      <c r="A1" s="1" t="s">
        <v>0</v>
      </c>
      <c r="B1" s="2" t="s">
        <v>1</v>
      </c>
    </row>
    <row r="2" ht="18.0" customHeight="1">
      <c r="A2" s="3" t="s">
        <v>2</v>
      </c>
      <c r="B2" s="4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" t="s">
        <v>4</v>
      </c>
      <c r="B3" s="6">
        <v>237444.0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3" t="s">
        <v>5</v>
      </c>
      <c r="B4" s="6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3" t="s">
        <v>7</v>
      </c>
      <c r="B5" s="6" t="s">
        <v>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3" t="s">
        <v>9</v>
      </c>
      <c r="B6" s="6" t="s">
        <v>10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3" t="s">
        <v>11</v>
      </c>
      <c r="B7" s="6" t="s">
        <v>12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3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3" t="s">
        <v>14</v>
      </c>
      <c r="B9" s="6" t="s">
        <v>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3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3" t="s">
        <v>17</v>
      </c>
      <c r="B11" s="6">
        <v>1000.0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3" t="s">
        <v>18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3" t="s">
        <v>19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hidden="1" customHeight="1">
      <c r="A14" s="3" t="s">
        <v>20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hidden="1" customHeight="1">
      <c r="A15" s="3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hidden="1" customHeight="1">
      <c r="A16" s="3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hidden="1" customHeight="1">
      <c r="A17" s="3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8"/>
      <c r="B18" s="9" t="s">
        <v>24</v>
      </c>
      <c r="C18" s="10" t="s">
        <v>25</v>
      </c>
    </row>
  </sheetData>
  <mergeCells count="4">
    <mergeCell ref="B1:Z1"/>
    <mergeCell ref="A18:A1000"/>
    <mergeCell ref="C18:Z18"/>
    <mergeCell ref="B19:Z1000"/>
  </mergeCells>
  <hyperlinks>
    <hyperlink r:id="rId1" ref="C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6" width="28.71"/>
  </cols>
  <sheetData>
    <row r="1" ht="27.0" customHeight="1">
      <c r="A1" s="2" t="s">
        <v>3</v>
      </c>
    </row>
    <row r="2">
      <c r="A2" s="11" t="s">
        <v>26</v>
      </c>
      <c r="B2" s="12">
        <v>44064.26395833334</v>
      </c>
      <c r="D2" s="13"/>
      <c r="G2" s="14"/>
    </row>
    <row r="3">
      <c r="A3" s="11" t="s">
        <v>27</v>
      </c>
      <c r="B3" s="15" t="s">
        <v>28</v>
      </c>
      <c r="D3" s="13"/>
      <c r="G3" s="14"/>
    </row>
    <row r="4">
      <c r="A4" s="11" t="s">
        <v>29</v>
      </c>
      <c r="B4" s="16">
        <v>30.0</v>
      </c>
      <c r="D4" s="13"/>
      <c r="G4" s="14"/>
    </row>
    <row r="5">
      <c r="A5" s="11" t="s">
        <v>30</v>
      </c>
      <c r="B5" s="16">
        <v>30.0</v>
      </c>
      <c r="D5" s="13"/>
      <c r="G5" s="14"/>
    </row>
    <row r="6">
      <c r="A6" s="11" t="s">
        <v>31</v>
      </c>
      <c r="B6" s="17" t="s">
        <v>32</v>
      </c>
      <c r="D6" s="13"/>
      <c r="G6" s="14"/>
    </row>
    <row r="7">
      <c r="A7" s="18"/>
      <c r="B7" s="19"/>
      <c r="D7" s="13"/>
      <c r="G7" s="14"/>
    </row>
    <row r="8">
      <c r="A8" s="18"/>
      <c r="B8" s="19"/>
      <c r="D8" s="13"/>
      <c r="G8" s="14"/>
    </row>
    <row r="9">
      <c r="D9" s="13"/>
      <c r="G9" s="14"/>
    </row>
    <row r="10" ht="18.0" customHeight="1">
      <c r="A10" s="20" t="s">
        <v>33</v>
      </c>
    </row>
    <row r="11">
      <c r="A11" s="21"/>
      <c r="B11" s="21"/>
      <c r="C11" s="22" t="s">
        <v>34</v>
      </c>
      <c r="D11" s="22" t="s">
        <v>35</v>
      </c>
      <c r="E11" s="22" t="s">
        <v>36</v>
      </c>
      <c r="F11" s="22" t="s">
        <v>37</v>
      </c>
      <c r="G11" s="23" t="s">
        <v>38</v>
      </c>
      <c r="H11" s="22" t="s">
        <v>39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4"/>
      <c r="B12" s="24"/>
      <c r="C12" s="25">
        <v>34206.0</v>
      </c>
      <c r="D12" s="26">
        <v>0.852914798206278</v>
      </c>
      <c r="E12" s="25">
        <v>303073.0</v>
      </c>
      <c r="F12" s="25">
        <v>36559.0</v>
      </c>
      <c r="G12" s="27">
        <v>2788.656824</v>
      </c>
      <c r="H12" s="25">
        <v>47894.0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D13" s="13"/>
      <c r="G13" s="14"/>
    </row>
    <row r="14" ht="18.0" customHeight="1">
      <c r="A14" s="20" t="s">
        <v>40</v>
      </c>
    </row>
    <row r="15">
      <c r="A15" s="28" t="s">
        <v>41</v>
      </c>
      <c r="B15" s="28" t="s">
        <v>42</v>
      </c>
      <c r="C15" s="22" t="s">
        <v>34</v>
      </c>
      <c r="D15" s="22" t="s">
        <v>35</v>
      </c>
      <c r="E15" s="22" t="s">
        <v>36</v>
      </c>
      <c r="F15" s="22" t="s">
        <v>37</v>
      </c>
      <c r="G15" s="23" t="s">
        <v>38</v>
      </c>
      <c r="H15" s="22" t="s">
        <v>39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5" t="s">
        <v>43</v>
      </c>
      <c r="B16" s="30">
        <v>44034.0</v>
      </c>
      <c r="C16" s="25">
        <v>34.0</v>
      </c>
      <c r="D16" s="26">
        <v>0.9444444444444444</v>
      </c>
      <c r="E16" s="25">
        <v>0.0</v>
      </c>
      <c r="F16" s="25">
        <v>0.0</v>
      </c>
      <c r="G16" s="27">
        <v>0.0</v>
      </c>
      <c r="H16" s="25">
        <v>43.0</v>
      </c>
    </row>
    <row r="17">
      <c r="A17" s="25" t="s">
        <v>43</v>
      </c>
      <c r="B17" s="30">
        <v>44035.0</v>
      </c>
      <c r="C17" s="25">
        <v>939.0</v>
      </c>
      <c r="D17" s="26">
        <v>0.8639523336643495</v>
      </c>
      <c r="E17" s="25">
        <v>8288.0</v>
      </c>
      <c r="F17" s="25">
        <v>978.0</v>
      </c>
      <c r="G17" s="27">
        <v>77.189121</v>
      </c>
      <c r="H17" s="25">
        <v>1275.0</v>
      </c>
    </row>
    <row r="18">
      <c r="A18" s="25" t="s">
        <v>43</v>
      </c>
      <c r="B18" s="30">
        <v>44036.0</v>
      </c>
      <c r="C18" s="25">
        <v>1675.0</v>
      </c>
      <c r="D18" s="26">
        <v>0.8443080357142857</v>
      </c>
      <c r="E18" s="25">
        <v>13924.0</v>
      </c>
      <c r="F18" s="25">
        <v>1864.0</v>
      </c>
      <c r="G18" s="27">
        <v>135.710732</v>
      </c>
      <c r="H18" s="25">
        <v>2278.0</v>
      </c>
    </row>
    <row r="19">
      <c r="A19" s="25" t="s">
        <v>43</v>
      </c>
      <c r="B19" s="30">
        <v>44037.0</v>
      </c>
      <c r="C19" s="25">
        <v>1640.0</v>
      </c>
      <c r="D19" s="26">
        <v>0.860968660968661</v>
      </c>
      <c r="E19" s="25">
        <v>13748.0</v>
      </c>
      <c r="F19" s="25">
        <v>1783.0</v>
      </c>
      <c r="G19" s="27">
        <v>147.028699</v>
      </c>
      <c r="H19" s="25">
        <v>2275.0</v>
      </c>
    </row>
    <row r="20">
      <c r="A20" s="25" t="s">
        <v>43</v>
      </c>
      <c r="B20" s="30">
        <v>44038.0</v>
      </c>
      <c r="C20" s="25">
        <v>651.0</v>
      </c>
      <c r="D20" s="26">
        <v>0.8637640449438202</v>
      </c>
      <c r="E20" s="25">
        <v>5028.0</v>
      </c>
      <c r="F20" s="25">
        <v>673.0</v>
      </c>
      <c r="G20" s="27">
        <v>51.349739</v>
      </c>
      <c r="H20" s="25">
        <v>883.0</v>
      </c>
    </row>
    <row r="21">
      <c r="A21" s="25" t="s">
        <v>43</v>
      </c>
      <c r="B21" s="30">
        <v>44039.0</v>
      </c>
      <c r="C21" s="25">
        <v>35.0</v>
      </c>
      <c r="D21" s="26">
        <v>0.8974358974358975</v>
      </c>
      <c r="E21" s="25">
        <v>0.0</v>
      </c>
      <c r="F21" s="25">
        <v>0.0</v>
      </c>
      <c r="G21" s="27">
        <v>0.0</v>
      </c>
      <c r="H21" s="25">
        <v>101.0</v>
      </c>
    </row>
    <row r="22">
      <c r="A22" s="25" t="s">
        <v>43</v>
      </c>
      <c r="B22" s="30">
        <v>44040.0</v>
      </c>
      <c r="C22" s="25">
        <v>36.0</v>
      </c>
      <c r="D22" s="26">
        <v>0.9722222222222221</v>
      </c>
      <c r="E22" s="25">
        <v>0.0</v>
      </c>
      <c r="F22" s="25">
        <v>0.0</v>
      </c>
      <c r="G22" s="27">
        <v>0.0</v>
      </c>
      <c r="H22" s="25">
        <v>38.0</v>
      </c>
    </row>
    <row r="23">
      <c r="A23" s="25" t="s">
        <v>43</v>
      </c>
      <c r="B23" s="30">
        <v>44041.0</v>
      </c>
      <c r="C23" s="25">
        <v>22.0</v>
      </c>
      <c r="D23" s="26">
        <v>0.9565217391304348</v>
      </c>
      <c r="E23" s="25">
        <v>0.0</v>
      </c>
      <c r="F23" s="25">
        <v>0.0</v>
      </c>
      <c r="G23" s="27">
        <v>0.0</v>
      </c>
      <c r="H23" s="25">
        <v>24.0</v>
      </c>
    </row>
    <row r="24">
      <c r="A24" s="25" t="s">
        <v>43</v>
      </c>
      <c r="B24" s="30">
        <v>44042.0</v>
      </c>
      <c r="C24" s="25">
        <v>20.0</v>
      </c>
      <c r="D24" s="26">
        <v>0.9523809523809522</v>
      </c>
      <c r="E24" s="25">
        <v>0.0</v>
      </c>
      <c r="F24" s="25">
        <v>0.0</v>
      </c>
      <c r="G24" s="27">
        <v>0.0</v>
      </c>
      <c r="H24" s="25">
        <v>22.0</v>
      </c>
    </row>
    <row r="25">
      <c r="A25" s="25" t="s">
        <v>43</v>
      </c>
      <c r="B25" s="30">
        <v>44043.0</v>
      </c>
      <c r="C25" s="25">
        <v>72.0</v>
      </c>
      <c r="D25" s="26">
        <v>0.825</v>
      </c>
      <c r="E25" s="25">
        <v>0.0</v>
      </c>
      <c r="F25" s="25">
        <v>0.0</v>
      </c>
      <c r="G25" s="27">
        <v>0.0</v>
      </c>
      <c r="H25" s="25">
        <v>110.0</v>
      </c>
    </row>
    <row r="26">
      <c r="A26" s="25" t="s">
        <v>43</v>
      </c>
      <c r="B26" s="30">
        <v>44044.0</v>
      </c>
      <c r="C26" s="25">
        <v>1355.0</v>
      </c>
      <c r="D26" s="26">
        <v>0.8512679917751885</v>
      </c>
      <c r="E26" s="25">
        <v>11712.0</v>
      </c>
      <c r="F26" s="25">
        <v>1505.0</v>
      </c>
      <c r="G26" s="27">
        <v>105.193334</v>
      </c>
      <c r="H26" s="25">
        <v>1873.0</v>
      </c>
    </row>
    <row r="27">
      <c r="A27" s="25" t="s">
        <v>43</v>
      </c>
      <c r="B27" s="30">
        <v>44045.0</v>
      </c>
      <c r="C27" s="25">
        <v>1426.0</v>
      </c>
      <c r="D27" s="26">
        <v>0.8490566037735848</v>
      </c>
      <c r="E27" s="25">
        <v>12174.0</v>
      </c>
      <c r="F27" s="25">
        <v>1548.0</v>
      </c>
      <c r="G27" s="27">
        <v>107.603151</v>
      </c>
      <c r="H27" s="25">
        <v>1957.0</v>
      </c>
    </row>
    <row r="28">
      <c r="A28" s="25" t="s">
        <v>43</v>
      </c>
      <c r="B28" s="30">
        <v>44046.0</v>
      </c>
      <c r="C28" s="25">
        <v>1432.0</v>
      </c>
      <c r="D28" s="26">
        <v>0.8400770712909441</v>
      </c>
      <c r="E28" s="25">
        <v>12207.0</v>
      </c>
      <c r="F28" s="25">
        <v>1573.0</v>
      </c>
      <c r="G28" s="27">
        <v>112.07402</v>
      </c>
      <c r="H28" s="25">
        <v>2050.0</v>
      </c>
    </row>
    <row r="29">
      <c r="A29" s="25" t="s">
        <v>43</v>
      </c>
      <c r="B29" s="30">
        <v>44047.0</v>
      </c>
      <c r="C29" s="25">
        <v>1561.0</v>
      </c>
      <c r="D29" s="26">
        <v>0.8496807893209518</v>
      </c>
      <c r="E29" s="25">
        <v>13118.0</v>
      </c>
      <c r="F29" s="25">
        <v>1690.0</v>
      </c>
      <c r="G29" s="27">
        <v>124.194254</v>
      </c>
      <c r="H29" s="25">
        <v>2238.0</v>
      </c>
    </row>
    <row r="30">
      <c r="A30" s="25" t="s">
        <v>43</v>
      </c>
      <c r="B30" s="30">
        <v>44048.0</v>
      </c>
      <c r="C30" s="25">
        <v>1562.0</v>
      </c>
      <c r="D30" s="26">
        <v>0.8560287942411517</v>
      </c>
      <c r="E30" s="25">
        <v>13344.0</v>
      </c>
      <c r="F30" s="25">
        <v>1699.0</v>
      </c>
      <c r="G30" s="27">
        <v>132.075717</v>
      </c>
      <c r="H30" s="25">
        <v>2148.0</v>
      </c>
    </row>
    <row r="31">
      <c r="A31" s="25" t="s">
        <v>43</v>
      </c>
      <c r="B31" s="30">
        <v>44049.0</v>
      </c>
      <c r="C31" s="25">
        <v>1687.0</v>
      </c>
      <c r="D31" s="26">
        <v>0.8566739606126916</v>
      </c>
      <c r="E31" s="25">
        <v>14124.0</v>
      </c>
      <c r="F31" s="25">
        <v>1821.0</v>
      </c>
      <c r="G31" s="27">
        <v>126.864684</v>
      </c>
      <c r="H31" s="25">
        <v>2357.0</v>
      </c>
    </row>
    <row r="32">
      <c r="A32" s="25" t="s">
        <v>43</v>
      </c>
      <c r="B32" s="30">
        <v>44050.0</v>
      </c>
      <c r="C32" s="25">
        <v>1567.0</v>
      </c>
      <c r="D32" s="26">
        <v>0.8572285542891421</v>
      </c>
      <c r="E32" s="25">
        <v>14432.0</v>
      </c>
      <c r="F32" s="25">
        <v>1656.0</v>
      </c>
      <c r="G32" s="27">
        <v>128.064794</v>
      </c>
      <c r="H32" s="25">
        <v>2103.0</v>
      </c>
    </row>
    <row r="33">
      <c r="A33" s="25" t="s">
        <v>43</v>
      </c>
      <c r="B33" s="30">
        <v>44051.0</v>
      </c>
      <c r="C33" s="25">
        <v>1500.0</v>
      </c>
      <c r="D33" s="26">
        <v>0.867359413202934</v>
      </c>
      <c r="E33" s="25">
        <v>13155.0</v>
      </c>
      <c r="F33" s="25">
        <v>1621.0</v>
      </c>
      <c r="G33" s="27">
        <v>129.241598</v>
      </c>
      <c r="H33" s="25">
        <v>2026.0</v>
      </c>
    </row>
    <row r="34">
      <c r="A34" s="25" t="s">
        <v>43</v>
      </c>
      <c r="B34" s="30">
        <v>44052.0</v>
      </c>
      <c r="C34" s="25">
        <v>1464.0</v>
      </c>
      <c r="D34" s="26">
        <v>0.8535031847133758</v>
      </c>
      <c r="E34" s="25">
        <v>12821.0</v>
      </c>
      <c r="F34" s="25">
        <v>1555.0</v>
      </c>
      <c r="G34" s="27">
        <v>112.431284</v>
      </c>
      <c r="H34" s="25">
        <v>2020.0</v>
      </c>
    </row>
    <row r="35">
      <c r="A35" s="25" t="s">
        <v>43</v>
      </c>
      <c r="B35" s="30">
        <v>44053.0</v>
      </c>
      <c r="C35" s="25">
        <v>1438.0</v>
      </c>
      <c r="D35" s="26">
        <v>0.8515878159429683</v>
      </c>
      <c r="E35" s="25">
        <v>13595.0</v>
      </c>
      <c r="F35" s="25">
        <v>1537.0</v>
      </c>
      <c r="G35" s="27">
        <v>114.162902</v>
      </c>
      <c r="H35" s="25">
        <v>1991.0</v>
      </c>
    </row>
    <row r="36">
      <c r="A36" s="25" t="s">
        <v>43</v>
      </c>
      <c r="B36" s="30">
        <v>44054.0</v>
      </c>
      <c r="C36" s="25">
        <v>1509.0</v>
      </c>
      <c r="D36" s="26">
        <v>0.8445404071560765</v>
      </c>
      <c r="E36" s="25">
        <v>14359.0</v>
      </c>
      <c r="F36" s="25">
        <v>1618.0</v>
      </c>
      <c r="G36" s="27">
        <v>122.74724</v>
      </c>
      <c r="H36" s="25">
        <v>2143.0</v>
      </c>
    </row>
    <row r="37">
      <c r="A37" s="25" t="s">
        <v>43</v>
      </c>
      <c r="B37" s="30">
        <v>44055.0</v>
      </c>
      <c r="C37" s="25">
        <v>1508.0</v>
      </c>
      <c r="D37" s="26">
        <v>0.8528510116492949</v>
      </c>
      <c r="E37" s="25">
        <v>13699.0</v>
      </c>
      <c r="F37" s="25">
        <v>1610.0</v>
      </c>
      <c r="G37" s="27">
        <v>126.451075</v>
      </c>
      <c r="H37" s="25">
        <v>2215.0</v>
      </c>
    </row>
    <row r="38">
      <c r="A38" s="25" t="s">
        <v>43</v>
      </c>
      <c r="B38" s="30">
        <v>44056.0</v>
      </c>
      <c r="C38" s="25">
        <v>1459.0</v>
      </c>
      <c r="D38" s="26">
        <v>0.8593448940269749</v>
      </c>
      <c r="E38" s="25">
        <v>13655.0</v>
      </c>
      <c r="F38" s="25">
        <v>1546.0</v>
      </c>
      <c r="G38" s="27">
        <v>121.531775</v>
      </c>
      <c r="H38" s="25">
        <v>2187.0</v>
      </c>
    </row>
    <row r="39">
      <c r="A39" s="25" t="s">
        <v>43</v>
      </c>
      <c r="B39" s="30">
        <v>44057.0</v>
      </c>
      <c r="C39" s="25">
        <v>1403.0</v>
      </c>
      <c r="D39" s="26">
        <v>0.838</v>
      </c>
      <c r="E39" s="25">
        <v>12870.0</v>
      </c>
      <c r="F39" s="25">
        <v>1489.0</v>
      </c>
      <c r="G39" s="27">
        <v>119.681023</v>
      </c>
      <c r="H39" s="25">
        <v>1968.0</v>
      </c>
    </row>
    <row r="40">
      <c r="A40" s="25" t="s">
        <v>43</v>
      </c>
      <c r="B40" s="30">
        <v>44058.0</v>
      </c>
      <c r="C40" s="25">
        <v>1296.0</v>
      </c>
      <c r="D40" s="26">
        <v>0.8421052631578947</v>
      </c>
      <c r="E40" s="25">
        <v>11154.0</v>
      </c>
      <c r="F40" s="25">
        <v>1358.0</v>
      </c>
      <c r="G40" s="27">
        <v>106.665847</v>
      </c>
      <c r="H40" s="25">
        <v>1821.0</v>
      </c>
    </row>
    <row r="41">
      <c r="A41" s="25" t="s">
        <v>43</v>
      </c>
      <c r="B41" s="30">
        <v>44059.0</v>
      </c>
      <c r="C41" s="25">
        <v>1406.0</v>
      </c>
      <c r="D41" s="26">
        <v>0.8647375504710633</v>
      </c>
      <c r="E41" s="25">
        <v>12713.0</v>
      </c>
      <c r="F41" s="25">
        <v>1495.0</v>
      </c>
      <c r="G41" s="27">
        <v>124.697247</v>
      </c>
      <c r="H41" s="25">
        <v>1917.0</v>
      </c>
    </row>
    <row r="42">
      <c r="A42" s="25" t="s">
        <v>43</v>
      </c>
      <c r="B42" s="30">
        <v>44060.0</v>
      </c>
      <c r="C42" s="25">
        <v>1288.0</v>
      </c>
      <c r="D42" s="26">
        <v>0.8638328530259366</v>
      </c>
      <c r="E42" s="25">
        <v>12847.0</v>
      </c>
      <c r="F42" s="25">
        <v>1409.0</v>
      </c>
      <c r="G42" s="27">
        <v>104.110301</v>
      </c>
      <c r="H42" s="25">
        <v>1779.0</v>
      </c>
    </row>
    <row r="43">
      <c r="A43" s="25" t="s">
        <v>43</v>
      </c>
      <c r="B43" s="30">
        <v>44061.0</v>
      </c>
      <c r="C43" s="25">
        <v>1413.0</v>
      </c>
      <c r="D43" s="26">
        <v>0.8408941485864563</v>
      </c>
      <c r="E43" s="25">
        <v>13187.0</v>
      </c>
      <c r="F43" s="25">
        <v>1518.0</v>
      </c>
      <c r="G43" s="27">
        <v>117.3281</v>
      </c>
      <c r="H43" s="25">
        <v>2012.0</v>
      </c>
    </row>
    <row r="44">
      <c r="A44" s="25" t="s">
        <v>43</v>
      </c>
      <c r="B44" s="30">
        <v>44062.0</v>
      </c>
      <c r="C44" s="25">
        <v>1408.0</v>
      </c>
      <c r="D44" s="26">
        <v>0.8442838370565046</v>
      </c>
      <c r="E44" s="25">
        <v>13079.0</v>
      </c>
      <c r="F44" s="25">
        <v>1519.0</v>
      </c>
      <c r="G44" s="27">
        <v>118.504767</v>
      </c>
      <c r="H44" s="25">
        <v>2063.0</v>
      </c>
    </row>
    <row r="45">
      <c r="A45" s="25" t="s">
        <v>43</v>
      </c>
      <c r="B45" s="30">
        <v>44063.0</v>
      </c>
      <c r="C45" s="25">
        <v>1400.0</v>
      </c>
      <c r="D45" s="26">
        <v>0.8545935228023793</v>
      </c>
      <c r="E45" s="25">
        <v>13840.0</v>
      </c>
      <c r="F45" s="25">
        <v>1494.0</v>
      </c>
      <c r="G45" s="27">
        <v>123.75542</v>
      </c>
      <c r="H45" s="25">
        <v>1977.0</v>
      </c>
    </row>
    <row r="46">
      <c r="D46" s="13"/>
      <c r="G46" s="14"/>
    </row>
    <row r="47">
      <c r="D47" s="13"/>
      <c r="G47" s="14"/>
    </row>
    <row r="48">
      <c r="D48" s="13"/>
      <c r="G48" s="14"/>
    </row>
    <row r="49">
      <c r="D49" s="13"/>
      <c r="G49" s="14"/>
    </row>
    <row r="50">
      <c r="D50" s="13"/>
      <c r="G50" s="14"/>
    </row>
    <row r="51">
      <c r="D51" s="13"/>
      <c r="G51" s="14"/>
    </row>
    <row r="52">
      <c r="D52" s="13"/>
      <c r="G52" s="14"/>
    </row>
    <row r="53">
      <c r="D53" s="13"/>
      <c r="G53" s="14"/>
    </row>
    <row r="54">
      <c r="D54" s="13"/>
      <c r="G54" s="14"/>
    </row>
    <row r="55">
      <c r="D55" s="13"/>
      <c r="G55" s="14"/>
    </row>
    <row r="56">
      <c r="D56" s="13"/>
      <c r="G56" s="14"/>
    </row>
    <row r="57">
      <c r="D57" s="13"/>
      <c r="G57" s="14"/>
    </row>
    <row r="58">
      <c r="D58" s="13"/>
      <c r="G58" s="14"/>
    </row>
    <row r="59">
      <c r="D59" s="13"/>
      <c r="G59" s="14"/>
    </row>
    <row r="60">
      <c r="D60" s="13"/>
      <c r="G60" s="14"/>
    </row>
    <row r="61">
      <c r="D61" s="13"/>
      <c r="G61" s="14"/>
    </row>
    <row r="62">
      <c r="D62" s="13"/>
      <c r="G62" s="14"/>
    </row>
    <row r="63">
      <c r="D63" s="13"/>
      <c r="G63" s="14"/>
    </row>
    <row r="64">
      <c r="D64" s="13"/>
      <c r="G64" s="14"/>
    </row>
    <row r="65">
      <c r="D65" s="13"/>
      <c r="G65" s="14"/>
    </row>
    <row r="66">
      <c r="D66" s="13"/>
      <c r="G66" s="14"/>
    </row>
    <row r="67">
      <c r="D67" s="13"/>
      <c r="G67" s="14"/>
    </row>
    <row r="68">
      <c r="D68" s="13"/>
      <c r="G68" s="14"/>
    </row>
    <row r="69">
      <c r="D69" s="13"/>
      <c r="G69" s="14"/>
    </row>
    <row r="70">
      <c r="D70" s="13"/>
      <c r="G70" s="14"/>
    </row>
    <row r="71">
      <c r="D71" s="13"/>
      <c r="G71" s="14"/>
    </row>
    <row r="72">
      <c r="D72" s="13"/>
      <c r="G72" s="14"/>
    </row>
    <row r="73">
      <c r="D73" s="13"/>
      <c r="G73" s="14"/>
    </row>
    <row r="74">
      <c r="D74" s="13"/>
      <c r="G74" s="14"/>
    </row>
    <row r="75">
      <c r="D75" s="13"/>
      <c r="G75" s="14"/>
    </row>
    <row r="76">
      <c r="D76" s="13"/>
      <c r="G76" s="14"/>
    </row>
    <row r="77">
      <c r="D77" s="13"/>
      <c r="G77" s="14"/>
    </row>
    <row r="78">
      <c r="D78" s="13"/>
      <c r="G78" s="14"/>
    </row>
    <row r="79">
      <c r="D79" s="13"/>
      <c r="G79" s="14"/>
    </row>
    <row r="80">
      <c r="D80" s="13"/>
      <c r="G80" s="14"/>
    </row>
    <row r="81">
      <c r="D81" s="13"/>
      <c r="G81" s="14"/>
    </row>
    <row r="82">
      <c r="D82" s="13"/>
      <c r="G82" s="14"/>
    </row>
    <row r="83">
      <c r="D83" s="13"/>
      <c r="G83" s="14"/>
    </row>
    <row r="84">
      <c r="D84" s="13"/>
      <c r="G84" s="14"/>
    </row>
    <row r="85">
      <c r="D85" s="13"/>
      <c r="G85" s="14"/>
    </row>
    <row r="86">
      <c r="D86" s="13"/>
      <c r="G86" s="14"/>
    </row>
    <row r="87">
      <c r="D87" s="13"/>
      <c r="G87" s="14"/>
    </row>
    <row r="88">
      <c r="D88" s="13"/>
      <c r="G88" s="14"/>
    </row>
    <row r="89">
      <c r="D89" s="13"/>
      <c r="G89" s="14"/>
    </row>
    <row r="90">
      <c r="D90" s="13"/>
      <c r="G90" s="14"/>
    </row>
    <row r="91">
      <c r="D91" s="13"/>
      <c r="G91" s="14"/>
    </row>
    <row r="92">
      <c r="D92" s="13"/>
      <c r="G92" s="14"/>
    </row>
    <row r="93">
      <c r="D93" s="13"/>
      <c r="G93" s="14"/>
    </row>
    <row r="94">
      <c r="D94" s="13"/>
      <c r="G94" s="14"/>
    </row>
    <row r="95">
      <c r="D95" s="13"/>
      <c r="G95" s="14"/>
    </row>
    <row r="96">
      <c r="D96" s="13"/>
      <c r="G96" s="14"/>
    </row>
    <row r="97">
      <c r="D97" s="13"/>
      <c r="G97" s="14"/>
    </row>
    <row r="98">
      <c r="D98" s="13"/>
      <c r="G98" s="14"/>
    </row>
    <row r="99">
      <c r="D99" s="13"/>
      <c r="G99" s="14"/>
    </row>
    <row r="100">
      <c r="D100" s="13"/>
      <c r="G100" s="14"/>
    </row>
    <row r="101">
      <c r="D101" s="13"/>
      <c r="G101" s="14"/>
    </row>
    <row r="102">
      <c r="D102" s="13"/>
      <c r="G102" s="14"/>
    </row>
    <row r="103">
      <c r="D103" s="13"/>
      <c r="G103" s="14"/>
    </row>
    <row r="104">
      <c r="D104" s="13"/>
      <c r="G104" s="14"/>
    </row>
    <row r="105">
      <c r="D105" s="13"/>
      <c r="G105" s="14"/>
    </row>
    <row r="106">
      <c r="D106" s="13"/>
      <c r="G106" s="14"/>
    </row>
    <row r="107">
      <c r="D107" s="13"/>
      <c r="G107" s="14"/>
    </row>
    <row r="108">
      <c r="D108" s="13"/>
      <c r="G108" s="14"/>
    </row>
    <row r="109">
      <c r="D109" s="13"/>
      <c r="G109" s="14"/>
    </row>
    <row r="110">
      <c r="D110" s="13"/>
      <c r="G110" s="14"/>
    </row>
    <row r="111">
      <c r="D111" s="13"/>
      <c r="G111" s="14"/>
    </row>
    <row r="112">
      <c r="D112" s="13"/>
      <c r="G112" s="14"/>
    </row>
    <row r="113">
      <c r="D113" s="13"/>
      <c r="G113" s="14"/>
    </row>
    <row r="114">
      <c r="D114" s="13"/>
      <c r="G114" s="14"/>
    </row>
    <row r="115">
      <c r="D115" s="13"/>
      <c r="G115" s="14"/>
    </row>
    <row r="116">
      <c r="D116" s="13"/>
      <c r="G116" s="14"/>
    </row>
    <row r="117">
      <c r="D117" s="13"/>
      <c r="G117" s="14"/>
    </row>
    <row r="118">
      <c r="D118" s="13"/>
      <c r="G118" s="14"/>
    </row>
    <row r="119">
      <c r="D119" s="13"/>
      <c r="G119" s="14"/>
    </row>
    <row r="120">
      <c r="D120" s="13"/>
      <c r="G120" s="14"/>
    </row>
    <row r="121">
      <c r="D121" s="13"/>
      <c r="G121" s="14"/>
    </row>
    <row r="122">
      <c r="D122" s="13"/>
      <c r="G122" s="14"/>
    </row>
    <row r="123">
      <c r="D123" s="13"/>
      <c r="G123" s="14"/>
    </row>
    <row r="124">
      <c r="D124" s="13"/>
      <c r="G124" s="14"/>
    </row>
    <row r="125">
      <c r="D125" s="13"/>
      <c r="G125" s="14"/>
    </row>
    <row r="126">
      <c r="D126" s="13"/>
      <c r="G126" s="14"/>
    </row>
    <row r="127">
      <c r="D127" s="13"/>
      <c r="G127" s="14"/>
    </row>
    <row r="128">
      <c r="D128" s="13"/>
      <c r="G128" s="14"/>
    </row>
    <row r="129">
      <c r="D129" s="13"/>
      <c r="G129" s="14"/>
    </row>
    <row r="130">
      <c r="D130" s="13"/>
      <c r="G130" s="14"/>
    </row>
    <row r="131">
      <c r="D131" s="13"/>
      <c r="G131" s="14"/>
    </row>
    <row r="132">
      <c r="D132" s="13"/>
      <c r="G132" s="14"/>
    </row>
    <row r="133">
      <c r="D133" s="13"/>
      <c r="G133" s="14"/>
    </row>
    <row r="134">
      <c r="D134" s="13"/>
      <c r="G134" s="14"/>
    </row>
    <row r="135">
      <c r="D135" s="13"/>
      <c r="G135" s="14"/>
    </row>
    <row r="136">
      <c r="D136" s="13"/>
      <c r="G136" s="14"/>
    </row>
    <row r="137">
      <c r="D137" s="13"/>
      <c r="G137" s="14"/>
    </row>
    <row r="138">
      <c r="D138" s="13"/>
      <c r="G138" s="14"/>
    </row>
    <row r="139">
      <c r="D139" s="13"/>
      <c r="G139" s="14"/>
    </row>
    <row r="140">
      <c r="D140" s="13"/>
      <c r="G140" s="14"/>
    </row>
    <row r="141">
      <c r="D141" s="13"/>
      <c r="G141" s="14"/>
    </row>
    <row r="142">
      <c r="D142" s="13"/>
      <c r="G142" s="14"/>
    </row>
    <row r="143">
      <c r="D143" s="13"/>
      <c r="G143" s="14"/>
    </row>
    <row r="144">
      <c r="D144" s="13"/>
      <c r="G144" s="14"/>
    </row>
    <row r="145">
      <c r="D145" s="13"/>
      <c r="G145" s="14"/>
    </row>
    <row r="146">
      <c r="D146" s="13"/>
      <c r="G146" s="14"/>
    </row>
    <row r="147">
      <c r="D147" s="13"/>
      <c r="G147" s="14"/>
    </row>
    <row r="148">
      <c r="D148" s="13"/>
      <c r="G148" s="14"/>
    </row>
    <row r="149">
      <c r="D149" s="13"/>
      <c r="G149" s="14"/>
    </row>
    <row r="150">
      <c r="D150" s="13"/>
      <c r="G150" s="14"/>
    </row>
    <row r="151">
      <c r="D151" s="13"/>
      <c r="G151" s="14"/>
    </row>
    <row r="152">
      <c r="D152" s="13"/>
      <c r="G152" s="14"/>
    </row>
    <row r="153">
      <c r="D153" s="13"/>
      <c r="G153" s="14"/>
    </row>
    <row r="154">
      <c r="D154" s="13"/>
      <c r="G154" s="14"/>
    </row>
    <row r="155">
      <c r="D155" s="13"/>
      <c r="G155" s="14"/>
    </row>
    <row r="156">
      <c r="D156" s="13"/>
      <c r="G156" s="14"/>
    </row>
    <row r="157">
      <c r="D157" s="13"/>
      <c r="G157" s="14"/>
    </row>
    <row r="158">
      <c r="D158" s="13"/>
      <c r="G158" s="14"/>
    </row>
    <row r="159">
      <c r="D159" s="13"/>
      <c r="G159" s="14"/>
    </row>
    <row r="160">
      <c r="D160" s="13"/>
      <c r="G160" s="14"/>
    </row>
    <row r="161">
      <c r="D161" s="13"/>
      <c r="G161" s="14"/>
    </row>
    <row r="162">
      <c r="D162" s="13"/>
      <c r="G162" s="14"/>
    </row>
    <row r="163">
      <c r="D163" s="13"/>
      <c r="G163" s="14"/>
    </row>
    <row r="164">
      <c r="D164" s="13"/>
      <c r="G164" s="14"/>
    </row>
    <row r="165">
      <c r="D165" s="13"/>
      <c r="G165" s="14"/>
    </row>
    <row r="166">
      <c r="D166" s="13"/>
      <c r="G166" s="14"/>
    </row>
    <row r="167">
      <c r="D167" s="13"/>
      <c r="G167" s="14"/>
    </row>
    <row r="168">
      <c r="D168" s="13"/>
      <c r="G168" s="14"/>
    </row>
    <row r="169">
      <c r="D169" s="13"/>
      <c r="G169" s="14"/>
    </row>
    <row r="170">
      <c r="D170" s="13"/>
      <c r="G170" s="14"/>
    </row>
    <row r="171">
      <c r="D171" s="13"/>
      <c r="G171" s="14"/>
    </row>
    <row r="172">
      <c r="D172" s="13"/>
      <c r="G172" s="14"/>
    </row>
    <row r="173">
      <c r="D173" s="13"/>
      <c r="G173" s="14"/>
    </row>
    <row r="174">
      <c r="D174" s="13"/>
      <c r="G174" s="14"/>
    </row>
    <row r="175">
      <c r="D175" s="13"/>
      <c r="G175" s="14"/>
    </row>
    <row r="176">
      <c r="D176" s="13"/>
      <c r="G176" s="14"/>
    </row>
    <row r="177">
      <c r="D177" s="13"/>
      <c r="G177" s="14"/>
    </row>
    <row r="178">
      <c r="D178" s="13"/>
      <c r="G178" s="14"/>
    </row>
    <row r="179">
      <c r="D179" s="13"/>
      <c r="G179" s="14"/>
    </row>
    <row r="180">
      <c r="D180" s="13"/>
      <c r="G180" s="14"/>
    </row>
    <row r="181">
      <c r="D181" s="13"/>
      <c r="G181" s="14"/>
    </row>
    <row r="182">
      <c r="D182" s="13"/>
      <c r="G182" s="14"/>
    </row>
    <row r="183">
      <c r="D183" s="13"/>
      <c r="G183" s="14"/>
    </row>
    <row r="184">
      <c r="D184" s="13"/>
      <c r="G184" s="14"/>
    </row>
    <row r="185">
      <c r="D185" s="13"/>
      <c r="G185" s="14"/>
    </row>
    <row r="186">
      <c r="D186" s="13"/>
      <c r="G186" s="14"/>
    </row>
    <row r="187">
      <c r="D187" s="13"/>
      <c r="G187" s="14"/>
    </row>
    <row r="188">
      <c r="D188" s="13"/>
      <c r="G188" s="14"/>
    </row>
    <row r="189">
      <c r="D189" s="13"/>
      <c r="G189" s="14"/>
    </row>
    <row r="190">
      <c r="D190" s="13"/>
      <c r="G190" s="14"/>
    </row>
    <row r="191">
      <c r="D191" s="13"/>
      <c r="G191" s="14"/>
    </row>
    <row r="192">
      <c r="D192" s="13"/>
      <c r="G192" s="14"/>
    </row>
    <row r="193">
      <c r="D193" s="13"/>
      <c r="G193" s="14"/>
    </row>
    <row r="194">
      <c r="D194" s="13"/>
      <c r="G194" s="14"/>
    </row>
    <row r="195">
      <c r="D195" s="13"/>
      <c r="G195" s="14"/>
    </row>
    <row r="196">
      <c r="D196" s="13"/>
      <c r="G196" s="14"/>
    </row>
    <row r="197">
      <c r="D197" s="13"/>
      <c r="G197" s="14"/>
    </row>
    <row r="198">
      <c r="D198" s="13"/>
      <c r="G198" s="14"/>
    </row>
    <row r="199">
      <c r="D199" s="13"/>
      <c r="G199" s="14"/>
    </row>
    <row r="200">
      <c r="D200" s="13"/>
      <c r="G200" s="14"/>
    </row>
    <row r="201">
      <c r="D201" s="13"/>
      <c r="G201" s="14"/>
    </row>
    <row r="202">
      <c r="D202" s="13"/>
      <c r="G202" s="14"/>
    </row>
    <row r="203">
      <c r="D203" s="13"/>
      <c r="G203" s="14"/>
    </row>
    <row r="204">
      <c r="D204" s="13"/>
      <c r="G204" s="14"/>
    </row>
    <row r="205">
      <c r="D205" s="13"/>
      <c r="G205" s="14"/>
    </row>
    <row r="206">
      <c r="D206" s="13"/>
      <c r="G206" s="14"/>
    </row>
    <row r="207">
      <c r="D207" s="13"/>
      <c r="G207" s="14"/>
    </row>
    <row r="208">
      <c r="D208" s="13"/>
      <c r="G208" s="14"/>
    </row>
    <row r="209">
      <c r="D209" s="13"/>
      <c r="G209" s="14"/>
    </row>
    <row r="210">
      <c r="D210" s="13"/>
      <c r="G210" s="14"/>
    </row>
    <row r="211">
      <c r="D211" s="13"/>
      <c r="G211" s="14"/>
    </row>
    <row r="212">
      <c r="D212" s="13"/>
      <c r="G212" s="14"/>
    </row>
    <row r="213">
      <c r="D213" s="13"/>
      <c r="G213" s="14"/>
    </row>
    <row r="214">
      <c r="D214" s="13"/>
      <c r="G214" s="14"/>
    </row>
    <row r="215">
      <c r="D215" s="13"/>
      <c r="G215" s="14"/>
    </row>
    <row r="216">
      <c r="D216" s="13"/>
      <c r="G216" s="14"/>
    </row>
    <row r="217">
      <c r="D217" s="13"/>
      <c r="G217" s="14"/>
    </row>
    <row r="218">
      <c r="D218" s="13"/>
      <c r="G218" s="14"/>
    </row>
    <row r="219">
      <c r="D219" s="13"/>
      <c r="G219" s="14"/>
    </row>
    <row r="220">
      <c r="D220" s="13"/>
      <c r="G220" s="14"/>
    </row>
    <row r="221">
      <c r="D221" s="13"/>
      <c r="G221" s="14"/>
    </row>
    <row r="222">
      <c r="D222" s="13"/>
      <c r="G222" s="14"/>
    </row>
    <row r="223">
      <c r="D223" s="13"/>
      <c r="G223" s="14"/>
    </row>
    <row r="224">
      <c r="D224" s="13"/>
      <c r="G224" s="14"/>
    </row>
    <row r="225">
      <c r="D225" s="13"/>
      <c r="G225" s="14"/>
    </row>
    <row r="226">
      <c r="D226" s="13"/>
      <c r="G226" s="14"/>
    </row>
    <row r="227">
      <c r="D227" s="13"/>
      <c r="G227" s="14"/>
    </row>
    <row r="228">
      <c r="D228" s="13"/>
      <c r="G228" s="14"/>
    </row>
    <row r="229">
      <c r="D229" s="13"/>
      <c r="G229" s="14"/>
    </row>
    <row r="230">
      <c r="D230" s="13"/>
      <c r="G230" s="14"/>
    </row>
    <row r="231">
      <c r="D231" s="13"/>
      <c r="G231" s="14"/>
    </row>
    <row r="232">
      <c r="D232" s="13"/>
      <c r="G232" s="14"/>
    </row>
    <row r="233">
      <c r="D233" s="13"/>
      <c r="G233" s="14"/>
    </row>
    <row r="234">
      <c r="D234" s="13"/>
      <c r="G234" s="14"/>
    </row>
    <row r="235">
      <c r="D235" s="13"/>
      <c r="G235" s="14"/>
    </row>
    <row r="236">
      <c r="D236" s="13"/>
      <c r="G236" s="14"/>
    </row>
    <row r="237">
      <c r="D237" s="13"/>
      <c r="G237" s="14"/>
    </row>
    <row r="238">
      <c r="D238" s="13"/>
      <c r="G238" s="14"/>
    </row>
    <row r="239">
      <c r="D239" s="13"/>
      <c r="G239" s="14"/>
    </row>
    <row r="240">
      <c r="D240" s="13"/>
      <c r="G240" s="14"/>
    </row>
    <row r="241">
      <c r="D241" s="13"/>
      <c r="G241" s="14"/>
    </row>
    <row r="242">
      <c r="D242" s="13"/>
      <c r="G242" s="14"/>
    </row>
    <row r="243">
      <c r="D243" s="13"/>
      <c r="G243" s="14"/>
    </row>
    <row r="244">
      <c r="D244" s="13"/>
      <c r="G244" s="14"/>
    </row>
    <row r="245">
      <c r="D245" s="13"/>
      <c r="G245" s="14"/>
    </row>
    <row r="246">
      <c r="D246" s="13"/>
      <c r="G246" s="14"/>
    </row>
    <row r="247">
      <c r="D247" s="13"/>
      <c r="G247" s="14"/>
    </row>
    <row r="248">
      <c r="D248" s="13"/>
      <c r="G248" s="14"/>
    </row>
    <row r="249">
      <c r="D249" s="13"/>
      <c r="G249" s="14"/>
    </row>
    <row r="250">
      <c r="D250" s="13"/>
      <c r="G250" s="14"/>
    </row>
    <row r="251">
      <c r="D251" s="13"/>
      <c r="G251" s="14"/>
    </row>
    <row r="252">
      <c r="D252" s="13"/>
      <c r="G252" s="14"/>
    </row>
    <row r="253">
      <c r="D253" s="13"/>
      <c r="G253" s="14"/>
    </row>
    <row r="254">
      <c r="D254" s="13"/>
      <c r="G254" s="14"/>
    </row>
    <row r="255">
      <c r="D255" s="13"/>
      <c r="G255" s="14"/>
    </row>
    <row r="256">
      <c r="D256" s="13"/>
      <c r="G256" s="14"/>
    </row>
    <row r="257">
      <c r="D257" s="13"/>
      <c r="G257" s="14"/>
    </row>
    <row r="258">
      <c r="D258" s="13"/>
      <c r="G258" s="14"/>
    </row>
    <row r="259">
      <c r="D259" s="13"/>
      <c r="G259" s="14"/>
    </row>
    <row r="260">
      <c r="D260" s="13"/>
      <c r="G260" s="14"/>
    </row>
    <row r="261">
      <c r="D261" s="13"/>
      <c r="G261" s="14"/>
    </row>
    <row r="262">
      <c r="D262" s="13"/>
      <c r="G262" s="14"/>
    </row>
    <row r="263">
      <c r="D263" s="13"/>
      <c r="G263" s="14"/>
    </row>
    <row r="264">
      <c r="D264" s="13"/>
      <c r="G264" s="14"/>
    </row>
    <row r="265">
      <c r="D265" s="13"/>
      <c r="G265" s="14"/>
    </row>
    <row r="266">
      <c r="D266" s="13"/>
      <c r="G266" s="14"/>
    </row>
    <row r="267">
      <c r="D267" s="13"/>
      <c r="G267" s="14"/>
    </row>
    <row r="268">
      <c r="D268" s="13"/>
      <c r="G268" s="14"/>
    </row>
    <row r="269">
      <c r="D269" s="13"/>
      <c r="G269" s="14"/>
    </row>
    <row r="270">
      <c r="D270" s="13"/>
      <c r="G270" s="14"/>
    </row>
    <row r="271">
      <c r="D271" s="13"/>
      <c r="G271" s="14"/>
    </row>
    <row r="272">
      <c r="D272" s="13"/>
      <c r="G272" s="14"/>
    </row>
    <row r="273">
      <c r="D273" s="13"/>
      <c r="G273" s="14"/>
    </row>
    <row r="274">
      <c r="D274" s="13"/>
      <c r="G274" s="14"/>
    </row>
    <row r="275">
      <c r="D275" s="13"/>
      <c r="G275" s="14"/>
    </row>
    <row r="276">
      <c r="D276" s="13"/>
      <c r="G276" s="14"/>
    </row>
    <row r="277">
      <c r="D277" s="13"/>
      <c r="G277" s="14"/>
    </row>
    <row r="278">
      <c r="D278" s="13"/>
      <c r="G278" s="14"/>
    </row>
    <row r="279">
      <c r="D279" s="13"/>
      <c r="G279" s="14"/>
    </row>
    <row r="280">
      <c r="D280" s="13"/>
      <c r="G280" s="14"/>
    </row>
    <row r="281">
      <c r="D281" s="13"/>
      <c r="G281" s="14"/>
    </row>
    <row r="282">
      <c r="D282" s="13"/>
      <c r="G282" s="14"/>
    </row>
    <row r="283">
      <c r="D283" s="13"/>
      <c r="G283" s="14"/>
    </row>
    <row r="284">
      <c r="D284" s="13"/>
      <c r="G284" s="14"/>
    </row>
    <row r="285">
      <c r="D285" s="13"/>
      <c r="G285" s="14"/>
    </row>
    <row r="286">
      <c r="D286" s="13"/>
      <c r="G286" s="14"/>
    </row>
    <row r="287">
      <c r="D287" s="13"/>
      <c r="G287" s="14"/>
    </row>
    <row r="288">
      <c r="D288" s="13"/>
      <c r="G288" s="14"/>
    </row>
    <row r="289">
      <c r="D289" s="13"/>
      <c r="G289" s="14"/>
    </row>
    <row r="290">
      <c r="D290" s="13"/>
      <c r="G290" s="14"/>
    </row>
    <row r="291">
      <c r="D291" s="13"/>
      <c r="G291" s="14"/>
    </row>
    <row r="292">
      <c r="D292" s="13"/>
      <c r="G292" s="14"/>
    </row>
    <row r="293">
      <c r="D293" s="13"/>
      <c r="G293" s="14"/>
    </row>
    <row r="294">
      <c r="D294" s="13"/>
      <c r="G294" s="14"/>
    </row>
    <row r="295">
      <c r="D295" s="13"/>
      <c r="G295" s="14"/>
    </row>
    <row r="296">
      <c r="D296" s="13"/>
      <c r="G296" s="14"/>
    </row>
    <row r="297">
      <c r="D297" s="13"/>
      <c r="G297" s="14"/>
    </row>
    <row r="298">
      <c r="D298" s="13"/>
      <c r="G298" s="14"/>
    </row>
    <row r="299">
      <c r="D299" s="13"/>
      <c r="G299" s="14"/>
    </row>
    <row r="300">
      <c r="D300" s="13"/>
      <c r="G300" s="14"/>
    </row>
    <row r="301">
      <c r="D301" s="13"/>
      <c r="G301" s="14"/>
    </row>
    <row r="302">
      <c r="D302" s="13"/>
      <c r="G302" s="14"/>
    </row>
    <row r="303">
      <c r="D303" s="13"/>
      <c r="G303" s="14"/>
    </row>
    <row r="304">
      <c r="D304" s="13"/>
      <c r="G304" s="14"/>
    </row>
    <row r="305">
      <c r="D305" s="13"/>
      <c r="G305" s="14"/>
    </row>
    <row r="306">
      <c r="D306" s="13"/>
      <c r="G306" s="14"/>
    </row>
    <row r="307">
      <c r="D307" s="13"/>
      <c r="G307" s="14"/>
    </row>
    <row r="308">
      <c r="D308" s="13"/>
      <c r="G308" s="14"/>
    </row>
    <row r="309">
      <c r="D309" s="13"/>
      <c r="G309" s="14"/>
    </row>
    <row r="310">
      <c r="D310" s="13"/>
      <c r="G310" s="14"/>
    </row>
    <row r="311">
      <c r="D311" s="13"/>
      <c r="G311" s="14"/>
    </row>
    <row r="312">
      <c r="D312" s="13"/>
      <c r="G312" s="14"/>
    </row>
    <row r="313">
      <c r="D313" s="13"/>
      <c r="G313" s="14"/>
    </row>
    <row r="314">
      <c r="D314" s="13"/>
      <c r="G314" s="14"/>
    </row>
    <row r="315">
      <c r="D315" s="13"/>
      <c r="G315" s="14"/>
    </row>
    <row r="316">
      <c r="D316" s="13"/>
      <c r="G316" s="14"/>
    </row>
    <row r="317">
      <c r="D317" s="13"/>
      <c r="G317" s="14"/>
    </row>
    <row r="318">
      <c r="D318" s="13"/>
      <c r="G318" s="14"/>
    </row>
    <row r="319">
      <c r="D319" s="13"/>
      <c r="G319" s="14"/>
    </row>
    <row r="320">
      <c r="D320" s="13"/>
      <c r="G320" s="14"/>
    </row>
    <row r="321">
      <c r="D321" s="13"/>
      <c r="G321" s="14"/>
    </row>
    <row r="322">
      <c r="D322" s="13"/>
      <c r="G322" s="14"/>
    </row>
    <row r="323">
      <c r="D323" s="13"/>
      <c r="G323" s="14"/>
    </row>
    <row r="324">
      <c r="D324" s="13"/>
      <c r="G324" s="14"/>
    </row>
    <row r="325">
      <c r="D325" s="13"/>
      <c r="G325" s="14"/>
    </row>
    <row r="326">
      <c r="D326" s="13"/>
      <c r="G326" s="14"/>
    </row>
    <row r="327">
      <c r="D327" s="13"/>
      <c r="G327" s="14"/>
    </row>
    <row r="328">
      <c r="D328" s="13"/>
      <c r="G328" s="14"/>
    </row>
    <row r="329">
      <c r="D329" s="13"/>
      <c r="G329" s="14"/>
    </row>
    <row r="330">
      <c r="D330" s="13"/>
      <c r="G330" s="14"/>
    </row>
    <row r="331">
      <c r="D331" s="13"/>
      <c r="G331" s="14"/>
    </row>
    <row r="332">
      <c r="D332" s="13"/>
      <c r="G332" s="14"/>
    </row>
    <row r="333">
      <c r="D333" s="13"/>
      <c r="G333" s="14"/>
    </row>
    <row r="334">
      <c r="D334" s="13"/>
      <c r="G334" s="14"/>
    </row>
    <row r="335">
      <c r="D335" s="13"/>
      <c r="G335" s="14"/>
    </row>
    <row r="336">
      <c r="D336" s="13"/>
      <c r="G336" s="14"/>
    </row>
    <row r="337">
      <c r="D337" s="13"/>
      <c r="G337" s="14"/>
    </row>
    <row r="338">
      <c r="D338" s="13"/>
      <c r="G338" s="14"/>
    </row>
    <row r="339">
      <c r="D339" s="13"/>
      <c r="G339" s="14"/>
    </row>
    <row r="340">
      <c r="D340" s="13"/>
      <c r="G340" s="14"/>
    </row>
    <row r="341">
      <c r="D341" s="13"/>
      <c r="G341" s="14"/>
    </row>
    <row r="342">
      <c r="D342" s="13"/>
      <c r="G342" s="14"/>
    </row>
    <row r="343">
      <c r="D343" s="13"/>
      <c r="G343" s="14"/>
    </row>
    <row r="344">
      <c r="D344" s="13"/>
      <c r="G344" s="14"/>
    </row>
    <row r="345">
      <c r="D345" s="13"/>
      <c r="G345" s="14"/>
    </row>
    <row r="346">
      <c r="D346" s="13"/>
      <c r="G346" s="14"/>
    </row>
    <row r="347">
      <c r="D347" s="13"/>
      <c r="G347" s="14"/>
    </row>
    <row r="348">
      <c r="D348" s="13"/>
      <c r="G348" s="14"/>
    </row>
    <row r="349">
      <c r="D349" s="13"/>
      <c r="G349" s="14"/>
    </row>
    <row r="350">
      <c r="D350" s="13"/>
      <c r="G350" s="14"/>
    </row>
    <row r="351">
      <c r="D351" s="13"/>
      <c r="G351" s="14"/>
    </row>
    <row r="352">
      <c r="D352" s="13"/>
      <c r="G352" s="14"/>
    </row>
    <row r="353">
      <c r="D353" s="13"/>
      <c r="G353" s="14"/>
    </row>
    <row r="354">
      <c r="D354" s="13"/>
      <c r="G354" s="14"/>
    </row>
    <row r="355">
      <c r="D355" s="13"/>
      <c r="G355" s="14"/>
    </row>
    <row r="356">
      <c r="D356" s="13"/>
      <c r="G356" s="14"/>
    </row>
    <row r="357">
      <c r="D357" s="13"/>
      <c r="G357" s="14"/>
    </row>
    <row r="358">
      <c r="D358" s="13"/>
      <c r="G358" s="14"/>
    </row>
    <row r="359">
      <c r="D359" s="13"/>
      <c r="G359" s="14"/>
    </row>
    <row r="360">
      <c r="D360" s="13"/>
      <c r="G360" s="14"/>
    </row>
    <row r="361">
      <c r="D361" s="13"/>
      <c r="G361" s="14"/>
    </row>
    <row r="362">
      <c r="D362" s="13"/>
      <c r="G362" s="14"/>
    </row>
    <row r="363">
      <c r="D363" s="13"/>
      <c r="G363" s="14"/>
    </row>
    <row r="364">
      <c r="D364" s="13"/>
      <c r="G364" s="14"/>
    </row>
    <row r="365">
      <c r="D365" s="13"/>
      <c r="G365" s="14"/>
    </row>
    <row r="366">
      <c r="D366" s="13"/>
      <c r="G366" s="14"/>
    </row>
    <row r="367">
      <c r="D367" s="13"/>
      <c r="G367" s="14"/>
    </row>
    <row r="368">
      <c r="D368" s="13"/>
      <c r="G368" s="14"/>
    </row>
    <row r="369">
      <c r="D369" s="13"/>
      <c r="G369" s="14"/>
    </row>
    <row r="370">
      <c r="D370" s="13"/>
      <c r="G370" s="14"/>
    </row>
    <row r="371">
      <c r="D371" s="13"/>
      <c r="G371" s="14"/>
    </row>
    <row r="372">
      <c r="D372" s="13"/>
      <c r="G372" s="14"/>
    </row>
    <row r="373">
      <c r="D373" s="13"/>
      <c r="G373" s="14"/>
    </row>
    <row r="374">
      <c r="D374" s="13"/>
      <c r="G374" s="14"/>
    </row>
    <row r="375">
      <c r="D375" s="13"/>
      <c r="G375" s="14"/>
    </row>
    <row r="376">
      <c r="D376" s="13"/>
      <c r="G376" s="14"/>
    </row>
    <row r="377">
      <c r="D377" s="13"/>
      <c r="G377" s="14"/>
    </row>
    <row r="378">
      <c r="D378" s="13"/>
      <c r="G378" s="14"/>
    </row>
    <row r="379">
      <c r="D379" s="13"/>
      <c r="G379" s="14"/>
    </row>
    <row r="380">
      <c r="D380" s="13"/>
      <c r="G380" s="14"/>
    </row>
    <row r="381">
      <c r="D381" s="13"/>
      <c r="G381" s="14"/>
    </row>
    <row r="382">
      <c r="D382" s="13"/>
      <c r="G382" s="14"/>
    </row>
    <row r="383">
      <c r="D383" s="13"/>
      <c r="G383" s="14"/>
    </row>
    <row r="384">
      <c r="D384" s="13"/>
      <c r="G384" s="14"/>
    </row>
    <row r="385">
      <c r="D385" s="13"/>
      <c r="G385" s="14"/>
    </row>
    <row r="386">
      <c r="D386" s="13"/>
      <c r="G386" s="14"/>
    </row>
    <row r="387">
      <c r="D387" s="13"/>
      <c r="G387" s="14"/>
    </row>
    <row r="388">
      <c r="D388" s="13"/>
      <c r="G388" s="14"/>
    </row>
    <row r="389">
      <c r="D389" s="13"/>
      <c r="G389" s="14"/>
    </row>
    <row r="390">
      <c r="D390" s="13"/>
      <c r="G390" s="14"/>
    </row>
    <row r="391">
      <c r="D391" s="13"/>
      <c r="G391" s="14"/>
    </row>
    <row r="392">
      <c r="D392" s="13"/>
      <c r="G392" s="14"/>
    </row>
    <row r="393">
      <c r="D393" s="13"/>
      <c r="G393" s="14"/>
    </row>
    <row r="394">
      <c r="D394" s="13"/>
      <c r="G394" s="14"/>
    </row>
    <row r="395">
      <c r="D395" s="13"/>
      <c r="G395" s="14"/>
    </row>
    <row r="396">
      <c r="D396" s="13"/>
      <c r="G396" s="14"/>
    </row>
    <row r="397">
      <c r="D397" s="13"/>
      <c r="G397" s="14"/>
    </row>
    <row r="398">
      <c r="D398" s="13"/>
      <c r="G398" s="14"/>
    </row>
    <row r="399">
      <c r="D399" s="13"/>
      <c r="G399" s="14"/>
    </row>
    <row r="400">
      <c r="D400" s="13"/>
      <c r="G400" s="14"/>
    </row>
    <row r="401">
      <c r="D401" s="13"/>
      <c r="G401" s="14"/>
    </row>
    <row r="402">
      <c r="D402" s="13"/>
      <c r="G402" s="14"/>
    </row>
    <row r="403">
      <c r="D403" s="13"/>
      <c r="G403" s="14"/>
    </row>
    <row r="404">
      <c r="D404" s="13"/>
      <c r="G404" s="14"/>
    </row>
    <row r="405">
      <c r="D405" s="13"/>
      <c r="G405" s="14"/>
    </row>
    <row r="406">
      <c r="D406" s="13"/>
      <c r="G406" s="14"/>
    </row>
    <row r="407">
      <c r="D407" s="13"/>
      <c r="G407" s="14"/>
    </row>
    <row r="408">
      <c r="D408" s="13"/>
      <c r="G408" s="14"/>
    </row>
    <row r="409">
      <c r="D409" s="13"/>
      <c r="G409" s="14"/>
    </row>
    <row r="410">
      <c r="D410" s="13"/>
      <c r="G410" s="14"/>
    </row>
    <row r="411">
      <c r="D411" s="13"/>
      <c r="G411" s="14"/>
    </row>
    <row r="412">
      <c r="D412" s="13"/>
      <c r="G412" s="14"/>
    </row>
    <row r="413">
      <c r="D413" s="13"/>
      <c r="G413" s="14"/>
    </row>
    <row r="414">
      <c r="D414" s="13"/>
      <c r="G414" s="14"/>
    </row>
    <row r="415">
      <c r="D415" s="13"/>
      <c r="G415" s="14"/>
    </row>
    <row r="416">
      <c r="D416" s="13"/>
      <c r="G416" s="14"/>
    </row>
    <row r="417">
      <c r="D417" s="13"/>
      <c r="G417" s="14"/>
    </row>
    <row r="418">
      <c r="D418" s="13"/>
      <c r="G418" s="14"/>
    </row>
    <row r="419">
      <c r="D419" s="13"/>
      <c r="G419" s="14"/>
    </row>
    <row r="420">
      <c r="D420" s="13"/>
      <c r="G420" s="14"/>
    </row>
    <row r="421">
      <c r="D421" s="13"/>
      <c r="G421" s="14"/>
    </row>
    <row r="422">
      <c r="D422" s="13"/>
      <c r="G422" s="14"/>
    </row>
    <row r="423">
      <c r="D423" s="13"/>
      <c r="G423" s="14"/>
    </row>
    <row r="424">
      <c r="D424" s="13"/>
      <c r="G424" s="14"/>
    </row>
    <row r="425">
      <c r="D425" s="13"/>
      <c r="G425" s="14"/>
    </row>
    <row r="426">
      <c r="D426" s="13"/>
      <c r="G426" s="14"/>
    </row>
    <row r="427">
      <c r="D427" s="13"/>
      <c r="G427" s="14"/>
    </row>
    <row r="428">
      <c r="D428" s="13"/>
      <c r="G428" s="14"/>
    </row>
    <row r="429">
      <c r="D429" s="13"/>
      <c r="G429" s="14"/>
    </row>
    <row r="430">
      <c r="D430" s="13"/>
      <c r="G430" s="14"/>
    </row>
    <row r="431">
      <c r="D431" s="13"/>
      <c r="G431" s="14"/>
    </row>
    <row r="432">
      <c r="D432" s="13"/>
      <c r="G432" s="14"/>
    </row>
    <row r="433">
      <c r="D433" s="13"/>
      <c r="G433" s="14"/>
    </row>
    <row r="434">
      <c r="D434" s="13"/>
      <c r="G434" s="14"/>
    </row>
    <row r="435">
      <c r="D435" s="13"/>
      <c r="G435" s="14"/>
    </row>
    <row r="436">
      <c r="D436" s="13"/>
      <c r="G436" s="14"/>
    </row>
    <row r="437">
      <c r="D437" s="13"/>
      <c r="G437" s="14"/>
    </row>
    <row r="438">
      <c r="D438" s="13"/>
      <c r="G438" s="14"/>
    </row>
    <row r="439">
      <c r="D439" s="13"/>
      <c r="G439" s="14"/>
    </row>
    <row r="440">
      <c r="D440" s="13"/>
      <c r="G440" s="14"/>
    </row>
    <row r="441">
      <c r="D441" s="13"/>
      <c r="G441" s="14"/>
    </row>
    <row r="442">
      <c r="D442" s="13"/>
      <c r="G442" s="14"/>
    </row>
    <row r="443">
      <c r="D443" s="13"/>
      <c r="G443" s="14"/>
    </row>
    <row r="444">
      <c r="D444" s="13"/>
      <c r="G444" s="14"/>
    </row>
    <row r="445">
      <c r="D445" s="13"/>
      <c r="G445" s="14"/>
    </row>
    <row r="446">
      <c r="D446" s="13"/>
      <c r="G446" s="14"/>
    </row>
    <row r="447">
      <c r="D447" s="13"/>
      <c r="G447" s="14"/>
    </row>
    <row r="448">
      <c r="D448" s="13"/>
      <c r="G448" s="14"/>
    </row>
    <row r="449">
      <c r="D449" s="13"/>
      <c r="G449" s="14"/>
    </row>
    <row r="450">
      <c r="D450" s="13"/>
      <c r="G450" s="14"/>
    </row>
    <row r="451">
      <c r="D451" s="13"/>
      <c r="G451" s="14"/>
    </row>
    <row r="452">
      <c r="D452" s="13"/>
      <c r="G452" s="14"/>
    </row>
    <row r="453">
      <c r="D453" s="13"/>
      <c r="G453" s="14"/>
    </row>
    <row r="454">
      <c r="D454" s="13"/>
      <c r="G454" s="14"/>
    </row>
    <row r="455">
      <c r="D455" s="13"/>
      <c r="G455" s="14"/>
    </row>
    <row r="456">
      <c r="D456" s="13"/>
      <c r="G456" s="14"/>
    </row>
    <row r="457">
      <c r="D457" s="13"/>
      <c r="G457" s="14"/>
    </row>
    <row r="458">
      <c r="D458" s="13"/>
      <c r="G458" s="14"/>
    </row>
    <row r="459">
      <c r="D459" s="13"/>
      <c r="G459" s="14"/>
    </row>
    <row r="460">
      <c r="D460" s="13"/>
      <c r="G460" s="14"/>
    </row>
    <row r="461">
      <c r="D461" s="13"/>
      <c r="G461" s="14"/>
    </row>
    <row r="462">
      <c r="D462" s="13"/>
      <c r="G462" s="14"/>
    </row>
    <row r="463">
      <c r="D463" s="13"/>
      <c r="G463" s="14"/>
    </row>
    <row r="464">
      <c r="D464" s="13"/>
      <c r="G464" s="14"/>
    </row>
    <row r="465">
      <c r="D465" s="13"/>
      <c r="G465" s="14"/>
    </row>
    <row r="466">
      <c r="D466" s="13"/>
      <c r="G466" s="14"/>
    </row>
    <row r="467">
      <c r="D467" s="13"/>
      <c r="G467" s="14"/>
    </row>
    <row r="468">
      <c r="D468" s="13"/>
      <c r="G468" s="14"/>
    </row>
    <row r="469">
      <c r="D469" s="13"/>
      <c r="G469" s="14"/>
    </row>
    <row r="470">
      <c r="D470" s="13"/>
      <c r="G470" s="14"/>
    </row>
    <row r="471">
      <c r="D471" s="13"/>
      <c r="G471" s="14"/>
    </row>
    <row r="472">
      <c r="D472" s="13"/>
      <c r="G472" s="14"/>
    </row>
    <row r="473">
      <c r="D473" s="13"/>
      <c r="G473" s="14"/>
    </row>
    <row r="474">
      <c r="D474" s="13"/>
      <c r="G474" s="14"/>
    </row>
    <row r="475">
      <c r="D475" s="13"/>
      <c r="G475" s="14"/>
    </row>
    <row r="476">
      <c r="D476" s="13"/>
      <c r="G476" s="14"/>
    </row>
    <row r="477">
      <c r="D477" s="13"/>
      <c r="G477" s="14"/>
    </row>
    <row r="478">
      <c r="D478" s="13"/>
      <c r="G478" s="14"/>
    </row>
    <row r="479">
      <c r="D479" s="13"/>
      <c r="G479" s="14"/>
    </row>
    <row r="480">
      <c r="D480" s="13"/>
      <c r="G480" s="14"/>
    </row>
    <row r="481">
      <c r="D481" s="13"/>
      <c r="G481" s="14"/>
    </row>
    <row r="482">
      <c r="D482" s="13"/>
      <c r="G482" s="14"/>
    </row>
    <row r="483">
      <c r="D483" s="13"/>
      <c r="G483" s="14"/>
    </row>
    <row r="484">
      <c r="D484" s="13"/>
      <c r="G484" s="14"/>
    </row>
    <row r="485">
      <c r="D485" s="13"/>
      <c r="G485" s="14"/>
    </row>
    <row r="486">
      <c r="D486" s="13"/>
      <c r="G486" s="14"/>
    </row>
    <row r="487">
      <c r="D487" s="13"/>
      <c r="G487" s="14"/>
    </row>
    <row r="488">
      <c r="D488" s="13"/>
      <c r="G488" s="14"/>
    </row>
    <row r="489">
      <c r="D489" s="13"/>
      <c r="G489" s="14"/>
    </row>
    <row r="490">
      <c r="D490" s="13"/>
      <c r="G490" s="14"/>
    </row>
    <row r="491">
      <c r="D491" s="13"/>
      <c r="G491" s="14"/>
    </row>
    <row r="492">
      <c r="D492" s="13"/>
      <c r="G492" s="14"/>
    </row>
    <row r="493">
      <c r="D493" s="13"/>
      <c r="G493" s="14"/>
    </row>
    <row r="494">
      <c r="D494" s="13"/>
      <c r="G494" s="14"/>
    </row>
    <row r="495">
      <c r="D495" s="13"/>
      <c r="G495" s="14"/>
    </row>
    <row r="496">
      <c r="D496" s="13"/>
      <c r="G496" s="14"/>
    </row>
    <row r="497">
      <c r="D497" s="13"/>
      <c r="G497" s="14"/>
    </row>
    <row r="498">
      <c r="D498" s="13"/>
      <c r="G498" s="14"/>
    </row>
    <row r="499">
      <c r="D499" s="13"/>
      <c r="G499" s="14"/>
    </row>
    <row r="500">
      <c r="D500" s="13"/>
      <c r="G500" s="14"/>
    </row>
    <row r="501">
      <c r="D501" s="13"/>
      <c r="G501" s="14"/>
    </row>
    <row r="502">
      <c r="D502" s="13"/>
      <c r="G502" s="14"/>
    </row>
    <row r="503">
      <c r="D503" s="13"/>
      <c r="G503" s="14"/>
    </row>
    <row r="504">
      <c r="D504" s="13"/>
      <c r="G504" s="14"/>
    </row>
    <row r="505">
      <c r="D505" s="13"/>
      <c r="G505" s="14"/>
    </row>
    <row r="506">
      <c r="D506" s="13"/>
      <c r="G506" s="14"/>
    </row>
    <row r="507">
      <c r="D507" s="13"/>
      <c r="G507" s="14"/>
    </row>
    <row r="508">
      <c r="D508" s="13"/>
      <c r="G508" s="14"/>
    </row>
    <row r="509">
      <c r="D509" s="13"/>
      <c r="G509" s="14"/>
    </row>
    <row r="510">
      <c r="D510" s="13"/>
      <c r="G510" s="14"/>
    </row>
    <row r="511">
      <c r="D511" s="13"/>
      <c r="G511" s="14"/>
    </row>
    <row r="512">
      <c r="D512" s="13"/>
      <c r="G512" s="14"/>
    </row>
    <row r="513">
      <c r="D513" s="13"/>
      <c r="G513" s="14"/>
    </row>
    <row r="514">
      <c r="D514" s="13"/>
      <c r="G514" s="14"/>
    </row>
    <row r="515">
      <c r="D515" s="13"/>
      <c r="G515" s="14"/>
    </row>
    <row r="516">
      <c r="D516" s="13"/>
      <c r="G516" s="14"/>
    </row>
    <row r="517">
      <c r="D517" s="13"/>
      <c r="G517" s="14"/>
    </row>
    <row r="518">
      <c r="D518" s="13"/>
      <c r="G518" s="14"/>
    </row>
    <row r="519">
      <c r="D519" s="13"/>
      <c r="G519" s="14"/>
    </row>
    <row r="520">
      <c r="D520" s="13"/>
      <c r="G520" s="14"/>
    </row>
    <row r="521">
      <c r="D521" s="13"/>
      <c r="G521" s="14"/>
    </row>
    <row r="522">
      <c r="D522" s="13"/>
      <c r="G522" s="14"/>
    </row>
    <row r="523">
      <c r="D523" s="13"/>
      <c r="G523" s="14"/>
    </row>
    <row r="524">
      <c r="D524" s="13"/>
      <c r="G524" s="14"/>
    </row>
    <row r="525">
      <c r="D525" s="13"/>
      <c r="G525" s="14"/>
    </row>
    <row r="526">
      <c r="D526" s="13"/>
      <c r="G526" s="14"/>
    </row>
    <row r="527">
      <c r="D527" s="13"/>
      <c r="G527" s="14"/>
    </row>
    <row r="528">
      <c r="D528" s="13"/>
      <c r="G528" s="14"/>
    </row>
    <row r="529">
      <c r="D529" s="13"/>
      <c r="G529" s="14"/>
    </row>
    <row r="530">
      <c r="D530" s="13"/>
      <c r="G530" s="14"/>
    </row>
    <row r="531">
      <c r="D531" s="13"/>
      <c r="G531" s="14"/>
    </row>
    <row r="532">
      <c r="D532" s="13"/>
      <c r="G532" s="14"/>
    </row>
    <row r="533">
      <c r="D533" s="13"/>
      <c r="G533" s="14"/>
    </row>
    <row r="534">
      <c r="D534" s="13"/>
      <c r="G534" s="14"/>
    </row>
    <row r="535">
      <c r="D535" s="13"/>
      <c r="G535" s="14"/>
    </row>
    <row r="536">
      <c r="D536" s="13"/>
      <c r="G536" s="14"/>
    </row>
    <row r="537">
      <c r="D537" s="13"/>
      <c r="G537" s="14"/>
    </row>
    <row r="538">
      <c r="D538" s="13"/>
      <c r="G538" s="14"/>
    </row>
    <row r="539">
      <c r="D539" s="13"/>
      <c r="G539" s="14"/>
    </row>
    <row r="540">
      <c r="D540" s="13"/>
      <c r="G540" s="14"/>
    </row>
    <row r="541">
      <c r="D541" s="13"/>
      <c r="G541" s="14"/>
    </row>
    <row r="542">
      <c r="D542" s="13"/>
      <c r="G542" s="14"/>
    </row>
    <row r="543">
      <c r="D543" s="13"/>
      <c r="G543" s="14"/>
    </row>
    <row r="544">
      <c r="D544" s="13"/>
      <c r="G544" s="14"/>
    </row>
    <row r="545">
      <c r="D545" s="13"/>
      <c r="G545" s="14"/>
    </row>
    <row r="546">
      <c r="D546" s="13"/>
      <c r="G546" s="14"/>
    </row>
    <row r="547">
      <c r="D547" s="13"/>
      <c r="G547" s="14"/>
    </row>
    <row r="548">
      <c r="D548" s="13"/>
      <c r="G548" s="14"/>
    </row>
    <row r="549">
      <c r="D549" s="13"/>
      <c r="G549" s="14"/>
    </row>
    <row r="550">
      <c r="D550" s="13"/>
      <c r="G550" s="14"/>
    </row>
    <row r="551">
      <c r="D551" s="13"/>
      <c r="G551" s="14"/>
    </row>
    <row r="552">
      <c r="D552" s="13"/>
      <c r="G552" s="14"/>
    </row>
    <row r="553">
      <c r="D553" s="13"/>
      <c r="G553" s="14"/>
    </row>
    <row r="554">
      <c r="D554" s="13"/>
      <c r="G554" s="14"/>
    </row>
    <row r="555">
      <c r="D555" s="13"/>
      <c r="G555" s="14"/>
    </row>
    <row r="556">
      <c r="D556" s="13"/>
      <c r="G556" s="14"/>
    </row>
    <row r="557">
      <c r="D557" s="13"/>
      <c r="G557" s="14"/>
    </row>
    <row r="558">
      <c r="D558" s="13"/>
      <c r="G558" s="14"/>
    </row>
    <row r="559">
      <c r="D559" s="13"/>
      <c r="G559" s="14"/>
    </row>
    <row r="560">
      <c r="D560" s="13"/>
      <c r="G560" s="14"/>
    </row>
    <row r="561">
      <c r="D561" s="13"/>
      <c r="G561" s="14"/>
    </row>
    <row r="562">
      <c r="D562" s="13"/>
      <c r="G562" s="14"/>
    </row>
    <row r="563">
      <c r="D563" s="13"/>
      <c r="G563" s="14"/>
    </row>
    <row r="564">
      <c r="D564" s="13"/>
      <c r="G564" s="14"/>
    </row>
    <row r="565">
      <c r="D565" s="13"/>
      <c r="G565" s="14"/>
    </row>
    <row r="566">
      <c r="D566" s="13"/>
      <c r="G566" s="14"/>
    </row>
    <row r="567">
      <c r="D567" s="13"/>
      <c r="G567" s="14"/>
    </row>
    <row r="568">
      <c r="D568" s="13"/>
      <c r="G568" s="14"/>
    </row>
    <row r="569">
      <c r="D569" s="13"/>
      <c r="G569" s="14"/>
    </row>
    <row r="570">
      <c r="D570" s="13"/>
      <c r="G570" s="14"/>
    </row>
    <row r="571">
      <c r="D571" s="13"/>
      <c r="G571" s="14"/>
    </row>
    <row r="572">
      <c r="D572" s="13"/>
      <c r="G572" s="14"/>
    </row>
    <row r="573">
      <c r="D573" s="13"/>
      <c r="G573" s="14"/>
    </row>
    <row r="574">
      <c r="D574" s="13"/>
      <c r="G574" s="14"/>
    </row>
    <row r="575">
      <c r="D575" s="13"/>
      <c r="G575" s="14"/>
    </row>
    <row r="576">
      <c r="D576" s="13"/>
      <c r="G576" s="14"/>
    </row>
    <row r="577">
      <c r="D577" s="13"/>
      <c r="G577" s="14"/>
    </row>
    <row r="578">
      <c r="D578" s="13"/>
      <c r="G578" s="14"/>
    </row>
    <row r="579">
      <c r="D579" s="13"/>
      <c r="G579" s="14"/>
    </row>
    <row r="580">
      <c r="D580" s="13"/>
      <c r="G580" s="14"/>
    </row>
    <row r="581">
      <c r="D581" s="13"/>
      <c r="G581" s="14"/>
    </row>
    <row r="582">
      <c r="D582" s="13"/>
      <c r="G582" s="14"/>
    </row>
    <row r="583">
      <c r="D583" s="13"/>
      <c r="G583" s="14"/>
    </row>
    <row r="584">
      <c r="D584" s="13"/>
      <c r="G584" s="14"/>
    </row>
    <row r="585">
      <c r="D585" s="13"/>
      <c r="G585" s="14"/>
    </row>
    <row r="586">
      <c r="D586" s="13"/>
      <c r="G586" s="14"/>
    </row>
    <row r="587">
      <c r="D587" s="13"/>
      <c r="G587" s="14"/>
    </row>
    <row r="588">
      <c r="D588" s="13"/>
      <c r="G588" s="14"/>
    </row>
    <row r="589">
      <c r="D589" s="13"/>
      <c r="G589" s="14"/>
    </row>
    <row r="590">
      <c r="D590" s="13"/>
      <c r="G590" s="14"/>
    </row>
    <row r="591">
      <c r="D591" s="13"/>
      <c r="G591" s="14"/>
    </row>
    <row r="592">
      <c r="D592" s="13"/>
      <c r="G592" s="14"/>
    </row>
    <row r="593">
      <c r="D593" s="13"/>
      <c r="G593" s="14"/>
    </row>
    <row r="594">
      <c r="D594" s="13"/>
      <c r="G594" s="14"/>
    </row>
    <row r="595">
      <c r="D595" s="13"/>
      <c r="G595" s="14"/>
    </row>
    <row r="596">
      <c r="D596" s="13"/>
      <c r="G596" s="14"/>
    </row>
    <row r="597">
      <c r="D597" s="13"/>
      <c r="G597" s="14"/>
    </row>
    <row r="598">
      <c r="D598" s="13"/>
      <c r="G598" s="14"/>
    </row>
    <row r="599">
      <c r="D599" s="13"/>
      <c r="G599" s="14"/>
    </row>
    <row r="600">
      <c r="D600" s="13"/>
      <c r="G600" s="14"/>
    </row>
    <row r="601">
      <c r="D601" s="13"/>
      <c r="G601" s="14"/>
    </row>
    <row r="602">
      <c r="D602" s="13"/>
      <c r="G602" s="14"/>
    </row>
    <row r="603">
      <c r="D603" s="13"/>
      <c r="G603" s="14"/>
    </row>
    <row r="604">
      <c r="D604" s="13"/>
      <c r="G604" s="14"/>
    </row>
    <row r="605">
      <c r="D605" s="13"/>
      <c r="G605" s="14"/>
    </row>
    <row r="606">
      <c r="D606" s="13"/>
      <c r="G606" s="14"/>
    </row>
    <row r="607">
      <c r="D607" s="13"/>
      <c r="G607" s="14"/>
    </row>
    <row r="608">
      <c r="D608" s="13"/>
      <c r="G608" s="14"/>
    </row>
    <row r="609">
      <c r="D609" s="13"/>
      <c r="G609" s="14"/>
    </row>
    <row r="610">
      <c r="D610" s="13"/>
      <c r="G610" s="14"/>
    </row>
    <row r="611">
      <c r="D611" s="13"/>
      <c r="G611" s="14"/>
    </row>
    <row r="612">
      <c r="D612" s="13"/>
      <c r="G612" s="14"/>
    </row>
    <row r="613">
      <c r="D613" s="13"/>
      <c r="G613" s="14"/>
    </row>
    <row r="614">
      <c r="D614" s="13"/>
      <c r="G614" s="14"/>
    </row>
    <row r="615">
      <c r="D615" s="13"/>
      <c r="G615" s="14"/>
    </row>
    <row r="616">
      <c r="D616" s="13"/>
      <c r="G616" s="14"/>
    </row>
    <row r="617">
      <c r="D617" s="13"/>
      <c r="G617" s="14"/>
    </row>
    <row r="618">
      <c r="D618" s="13"/>
      <c r="G618" s="14"/>
    </row>
    <row r="619">
      <c r="D619" s="13"/>
      <c r="G619" s="14"/>
    </row>
    <row r="620">
      <c r="D620" s="13"/>
      <c r="G620" s="14"/>
    </row>
    <row r="621">
      <c r="D621" s="13"/>
      <c r="G621" s="14"/>
    </row>
    <row r="622">
      <c r="D622" s="13"/>
      <c r="G622" s="14"/>
    </row>
    <row r="623">
      <c r="D623" s="13"/>
      <c r="G623" s="14"/>
    </row>
    <row r="624">
      <c r="D624" s="13"/>
      <c r="G624" s="14"/>
    </row>
    <row r="625">
      <c r="D625" s="13"/>
      <c r="G625" s="14"/>
    </row>
    <row r="626">
      <c r="D626" s="13"/>
      <c r="G626" s="14"/>
    </row>
    <row r="627">
      <c r="D627" s="13"/>
      <c r="G627" s="14"/>
    </row>
    <row r="628">
      <c r="D628" s="13"/>
      <c r="G628" s="14"/>
    </row>
    <row r="629">
      <c r="D629" s="13"/>
      <c r="G629" s="14"/>
    </row>
    <row r="630">
      <c r="D630" s="13"/>
      <c r="G630" s="14"/>
    </row>
    <row r="631">
      <c r="D631" s="13"/>
      <c r="G631" s="14"/>
    </row>
    <row r="632">
      <c r="D632" s="13"/>
      <c r="G632" s="14"/>
    </row>
    <row r="633">
      <c r="D633" s="13"/>
      <c r="G633" s="14"/>
    </row>
    <row r="634">
      <c r="D634" s="13"/>
      <c r="G634" s="14"/>
    </row>
    <row r="635">
      <c r="D635" s="13"/>
      <c r="G635" s="14"/>
    </row>
    <row r="636">
      <c r="D636" s="13"/>
      <c r="G636" s="14"/>
    </row>
    <row r="637">
      <c r="D637" s="13"/>
      <c r="G637" s="14"/>
    </row>
    <row r="638">
      <c r="D638" s="13"/>
      <c r="G638" s="14"/>
    </row>
    <row r="639">
      <c r="D639" s="13"/>
      <c r="G639" s="14"/>
    </row>
    <row r="640">
      <c r="D640" s="13"/>
      <c r="G640" s="14"/>
    </row>
    <row r="641">
      <c r="D641" s="13"/>
      <c r="G641" s="14"/>
    </row>
    <row r="642">
      <c r="D642" s="13"/>
      <c r="G642" s="14"/>
    </row>
    <row r="643">
      <c r="D643" s="13"/>
      <c r="G643" s="14"/>
    </row>
    <row r="644">
      <c r="D644" s="13"/>
      <c r="G644" s="14"/>
    </row>
    <row r="645">
      <c r="D645" s="13"/>
      <c r="G645" s="14"/>
    </row>
    <row r="646">
      <c r="D646" s="13"/>
      <c r="G646" s="14"/>
    </row>
    <row r="647">
      <c r="D647" s="13"/>
      <c r="G647" s="14"/>
    </row>
    <row r="648">
      <c r="D648" s="13"/>
      <c r="G648" s="14"/>
    </row>
    <row r="649">
      <c r="D649" s="13"/>
      <c r="G649" s="14"/>
    </row>
    <row r="650">
      <c r="D650" s="13"/>
      <c r="G650" s="14"/>
    </row>
    <row r="651">
      <c r="D651" s="13"/>
      <c r="G651" s="14"/>
    </row>
    <row r="652">
      <c r="D652" s="13"/>
      <c r="G652" s="14"/>
    </row>
    <row r="653">
      <c r="D653" s="13"/>
      <c r="G653" s="14"/>
    </row>
    <row r="654">
      <c r="D654" s="13"/>
      <c r="G654" s="14"/>
    </row>
    <row r="655">
      <c r="D655" s="13"/>
      <c r="G655" s="14"/>
    </row>
    <row r="656">
      <c r="D656" s="13"/>
      <c r="G656" s="14"/>
    </row>
    <row r="657">
      <c r="D657" s="13"/>
      <c r="G657" s="14"/>
    </row>
    <row r="658">
      <c r="D658" s="13"/>
      <c r="G658" s="14"/>
    </row>
    <row r="659">
      <c r="D659" s="13"/>
      <c r="G659" s="14"/>
    </row>
    <row r="660">
      <c r="D660" s="13"/>
      <c r="G660" s="14"/>
    </row>
    <row r="661">
      <c r="D661" s="13"/>
      <c r="G661" s="14"/>
    </row>
    <row r="662">
      <c r="D662" s="13"/>
      <c r="G662" s="14"/>
    </row>
    <row r="663">
      <c r="D663" s="13"/>
      <c r="G663" s="14"/>
    </row>
    <row r="664">
      <c r="D664" s="13"/>
      <c r="G664" s="14"/>
    </row>
    <row r="665">
      <c r="D665" s="13"/>
      <c r="G665" s="14"/>
    </row>
    <row r="666">
      <c r="D666" s="13"/>
      <c r="G666" s="14"/>
    </row>
    <row r="667">
      <c r="D667" s="13"/>
      <c r="G667" s="14"/>
    </row>
    <row r="668">
      <c r="D668" s="13"/>
      <c r="G668" s="14"/>
    </row>
    <row r="669">
      <c r="D669" s="13"/>
      <c r="G669" s="14"/>
    </row>
    <row r="670">
      <c r="D670" s="13"/>
      <c r="G670" s="14"/>
    </row>
    <row r="671">
      <c r="D671" s="13"/>
      <c r="G671" s="14"/>
    </row>
    <row r="672">
      <c r="D672" s="13"/>
      <c r="G672" s="14"/>
    </row>
    <row r="673">
      <c r="D673" s="13"/>
      <c r="G673" s="14"/>
    </row>
    <row r="674">
      <c r="D674" s="13"/>
      <c r="G674" s="14"/>
    </row>
    <row r="675">
      <c r="D675" s="13"/>
      <c r="G675" s="14"/>
    </row>
    <row r="676">
      <c r="D676" s="13"/>
      <c r="G676" s="14"/>
    </row>
    <row r="677">
      <c r="D677" s="13"/>
      <c r="G677" s="14"/>
    </row>
    <row r="678">
      <c r="D678" s="13"/>
      <c r="G678" s="14"/>
    </row>
    <row r="679">
      <c r="D679" s="13"/>
      <c r="G679" s="14"/>
    </row>
    <row r="680">
      <c r="D680" s="13"/>
      <c r="G680" s="14"/>
    </row>
    <row r="681">
      <c r="D681" s="13"/>
      <c r="G681" s="14"/>
    </row>
    <row r="682">
      <c r="D682" s="13"/>
      <c r="G682" s="14"/>
    </row>
    <row r="683">
      <c r="D683" s="13"/>
      <c r="G683" s="14"/>
    </row>
    <row r="684">
      <c r="D684" s="13"/>
      <c r="G684" s="14"/>
    </row>
    <row r="685">
      <c r="D685" s="13"/>
      <c r="G685" s="14"/>
    </row>
    <row r="686">
      <c r="D686" s="13"/>
      <c r="G686" s="14"/>
    </row>
    <row r="687">
      <c r="D687" s="13"/>
      <c r="G687" s="14"/>
    </row>
    <row r="688">
      <c r="D688" s="13"/>
      <c r="G688" s="14"/>
    </row>
    <row r="689">
      <c r="D689" s="13"/>
      <c r="G689" s="14"/>
    </row>
    <row r="690">
      <c r="D690" s="13"/>
      <c r="G690" s="14"/>
    </row>
    <row r="691">
      <c r="D691" s="13"/>
      <c r="G691" s="14"/>
    </row>
    <row r="692">
      <c r="D692" s="13"/>
      <c r="G692" s="14"/>
    </row>
    <row r="693">
      <c r="D693" s="13"/>
      <c r="G693" s="14"/>
    </row>
    <row r="694">
      <c r="D694" s="13"/>
      <c r="G694" s="14"/>
    </row>
    <row r="695">
      <c r="D695" s="13"/>
      <c r="G695" s="14"/>
    </row>
    <row r="696">
      <c r="D696" s="13"/>
      <c r="G696" s="14"/>
    </row>
    <row r="697">
      <c r="D697" s="13"/>
      <c r="G697" s="14"/>
    </row>
    <row r="698">
      <c r="D698" s="13"/>
      <c r="G698" s="14"/>
    </row>
    <row r="699">
      <c r="D699" s="13"/>
      <c r="G699" s="14"/>
    </row>
    <row r="700">
      <c r="D700" s="13"/>
      <c r="G700" s="14"/>
    </row>
    <row r="701">
      <c r="D701" s="13"/>
      <c r="G701" s="14"/>
    </row>
    <row r="702">
      <c r="D702" s="13"/>
      <c r="G702" s="14"/>
    </row>
    <row r="703">
      <c r="D703" s="13"/>
      <c r="G703" s="14"/>
    </row>
    <row r="704">
      <c r="D704" s="13"/>
      <c r="G704" s="14"/>
    </row>
    <row r="705">
      <c r="D705" s="13"/>
      <c r="G705" s="14"/>
    </row>
    <row r="706">
      <c r="D706" s="13"/>
      <c r="G706" s="14"/>
    </row>
    <row r="707">
      <c r="D707" s="13"/>
      <c r="G707" s="14"/>
    </row>
    <row r="708">
      <c r="D708" s="13"/>
      <c r="G708" s="14"/>
    </row>
    <row r="709">
      <c r="D709" s="13"/>
      <c r="G709" s="14"/>
    </row>
    <row r="710">
      <c r="D710" s="13"/>
      <c r="G710" s="14"/>
    </row>
    <row r="711">
      <c r="D711" s="13"/>
      <c r="G711" s="14"/>
    </row>
    <row r="712">
      <c r="D712" s="13"/>
      <c r="G712" s="14"/>
    </row>
    <row r="713">
      <c r="D713" s="13"/>
      <c r="G713" s="14"/>
    </row>
    <row r="714">
      <c r="D714" s="13"/>
      <c r="G714" s="14"/>
    </row>
    <row r="715">
      <c r="D715" s="13"/>
      <c r="G715" s="14"/>
    </row>
    <row r="716">
      <c r="D716" s="13"/>
      <c r="G716" s="14"/>
    </row>
    <row r="717">
      <c r="D717" s="13"/>
      <c r="G717" s="14"/>
    </row>
    <row r="718">
      <c r="D718" s="13"/>
      <c r="G718" s="14"/>
    </row>
    <row r="719">
      <c r="D719" s="13"/>
      <c r="G719" s="14"/>
    </row>
    <row r="720">
      <c r="D720" s="13"/>
      <c r="G720" s="14"/>
    </row>
    <row r="721">
      <c r="D721" s="13"/>
      <c r="G721" s="14"/>
    </row>
    <row r="722">
      <c r="D722" s="13"/>
      <c r="G722" s="14"/>
    </row>
    <row r="723">
      <c r="D723" s="13"/>
      <c r="G723" s="14"/>
    </row>
    <row r="724">
      <c r="D724" s="13"/>
      <c r="G724" s="14"/>
    </row>
    <row r="725">
      <c r="D725" s="13"/>
      <c r="G725" s="14"/>
    </row>
    <row r="726">
      <c r="D726" s="13"/>
      <c r="G726" s="14"/>
    </row>
    <row r="727">
      <c r="D727" s="13"/>
      <c r="G727" s="14"/>
    </row>
    <row r="728">
      <c r="D728" s="13"/>
      <c r="G728" s="14"/>
    </row>
    <row r="729">
      <c r="D729" s="13"/>
      <c r="G729" s="14"/>
    </row>
    <row r="730">
      <c r="D730" s="13"/>
      <c r="G730" s="14"/>
    </row>
    <row r="731">
      <c r="D731" s="13"/>
      <c r="G731" s="14"/>
    </row>
    <row r="732">
      <c r="D732" s="13"/>
      <c r="G732" s="14"/>
    </row>
    <row r="733">
      <c r="D733" s="13"/>
      <c r="G733" s="14"/>
    </row>
    <row r="734">
      <c r="D734" s="13"/>
      <c r="G734" s="14"/>
    </row>
    <row r="735">
      <c r="D735" s="13"/>
      <c r="G735" s="14"/>
    </row>
    <row r="736">
      <c r="D736" s="13"/>
      <c r="G736" s="14"/>
    </row>
    <row r="737">
      <c r="D737" s="13"/>
      <c r="G737" s="14"/>
    </row>
    <row r="738">
      <c r="D738" s="13"/>
      <c r="G738" s="14"/>
    </row>
    <row r="739">
      <c r="D739" s="13"/>
      <c r="G739" s="14"/>
    </row>
    <row r="740">
      <c r="D740" s="13"/>
      <c r="G740" s="14"/>
    </row>
    <row r="741">
      <c r="D741" s="13"/>
      <c r="G741" s="14"/>
    </row>
    <row r="742">
      <c r="D742" s="13"/>
      <c r="G742" s="14"/>
    </row>
    <row r="743">
      <c r="D743" s="13"/>
      <c r="G743" s="14"/>
    </row>
    <row r="744">
      <c r="D744" s="13"/>
      <c r="G744" s="14"/>
    </row>
    <row r="745">
      <c r="D745" s="13"/>
      <c r="G745" s="14"/>
    </row>
    <row r="746">
      <c r="D746" s="13"/>
      <c r="G746" s="14"/>
    </row>
    <row r="747">
      <c r="D747" s="13"/>
      <c r="G747" s="14"/>
    </row>
    <row r="748">
      <c r="D748" s="13"/>
      <c r="G748" s="14"/>
    </row>
    <row r="749">
      <c r="D749" s="13"/>
      <c r="G749" s="14"/>
    </row>
    <row r="750">
      <c r="D750" s="13"/>
      <c r="G750" s="14"/>
    </row>
    <row r="751">
      <c r="D751" s="13"/>
      <c r="G751" s="14"/>
    </row>
    <row r="752">
      <c r="D752" s="13"/>
      <c r="G752" s="14"/>
    </row>
    <row r="753">
      <c r="D753" s="13"/>
      <c r="G753" s="14"/>
    </row>
    <row r="754">
      <c r="D754" s="13"/>
      <c r="G754" s="14"/>
    </row>
    <row r="755">
      <c r="D755" s="13"/>
      <c r="G755" s="14"/>
    </row>
    <row r="756">
      <c r="D756" s="13"/>
      <c r="G756" s="14"/>
    </row>
    <row r="757">
      <c r="D757" s="13"/>
      <c r="G757" s="14"/>
    </row>
    <row r="758">
      <c r="D758" s="13"/>
      <c r="G758" s="14"/>
    </row>
    <row r="759">
      <c r="D759" s="13"/>
      <c r="G759" s="14"/>
    </row>
    <row r="760">
      <c r="D760" s="13"/>
      <c r="G760" s="14"/>
    </row>
    <row r="761">
      <c r="D761" s="13"/>
      <c r="G761" s="14"/>
    </row>
    <row r="762">
      <c r="D762" s="13"/>
      <c r="G762" s="14"/>
    </row>
    <row r="763">
      <c r="D763" s="13"/>
      <c r="G763" s="14"/>
    </row>
    <row r="764">
      <c r="D764" s="13"/>
      <c r="G764" s="14"/>
    </row>
    <row r="765">
      <c r="D765" s="13"/>
      <c r="G765" s="14"/>
    </row>
    <row r="766">
      <c r="D766" s="13"/>
      <c r="G766" s="14"/>
    </row>
    <row r="767">
      <c r="D767" s="13"/>
      <c r="G767" s="14"/>
    </row>
    <row r="768">
      <c r="D768" s="13"/>
      <c r="G768" s="14"/>
    </row>
    <row r="769">
      <c r="D769" s="13"/>
      <c r="G769" s="14"/>
    </row>
    <row r="770">
      <c r="D770" s="13"/>
      <c r="G770" s="14"/>
    </row>
    <row r="771">
      <c r="D771" s="13"/>
      <c r="G771" s="14"/>
    </row>
    <row r="772">
      <c r="D772" s="13"/>
      <c r="G772" s="14"/>
    </row>
    <row r="773">
      <c r="D773" s="13"/>
      <c r="G773" s="14"/>
    </row>
    <row r="774">
      <c r="D774" s="13"/>
      <c r="G774" s="14"/>
    </row>
    <row r="775">
      <c r="D775" s="13"/>
      <c r="G775" s="14"/>
    </row>
    <row r="776">
      <c r="D776" s="13"/>
      <c r="G776" s="14"/>
    </row>
    <row r="777">
      <c r="D777" s="13"/>
      <c r="G777" s="14"/>
    </row>
    <row r="778">
      <c r="D778" s="13"/>
      <c r="G778" s="14"/>
    </row>
    <row r="779">
      <c r="D779" s="13"/>
      <c r="G779" s="14"/>
    </row>
    <row r="780">
      <c r="D780" s="13"/>
      <c r="G780" s="14"/>
    </row>
    <row r="781">
      <c r="D781" s="13"/>
      <c r="G781" s="14"/>
    </row>
    <row r="782">
      <c r="D782" s="13"/>
      <c r="G782" s="14"/>
    </row>
    <row r="783">
      <c r="D783" s="13"/>
      <c r="G783" s="14"/>
    </row>
    <row r="784">
      <c r="D784" s="13"/>
      <c r="G784" s="14"/>
    </row>
    <row r="785">
      <c r="D785" s="13"/>
      <c r="G785" s="14"/>
    </row>
    <row r="786">
      <c r="D786" s="13"/>
      <c r="G786" s="14"/>
    </row>
    <row r="787">
      <c r="D787" s="13"/>
      <c r="G787" s="14"/>
    </row>
    <row r="788">
      <c r="D788" s="13"/>
      <c r="G788" s="14"/>
    </row>
    <row r="789">
      <c r="D789" s="13"/>
      <c r="G789" s="14"/>
    </row>
    <row r="790">
      <c r="D790" s="13"/>
      <c r="G790" s="14"/>
    </row>
    <row r="791">
      <c r="D791" s="13"/>
      <c r="G791" s="14"/>
    </row>
    <row r="792">
      <c r="D792" s="13"/>
      <c r="G792" s="14"/>
    </row>
    <row r="793">
      <c r="D793" s="13"/>
      <c r="G793" s="14"/>
    </row>
    <row r="794">
      <c r="D794" s="13"/>
      <c r="G794" s="14"/>
    </row>
    <row r="795">
      <c r="D795" s="13"/>
      <c r="G795" s="14"/>
    </row>
    <row r="796">
      <c r="D796" s="13"/>
      <c r="G796" s="14"/>
    </row>
    <row r="797">
      <c r="D797" s="13"/>
      <c r="G797" s="14"/>
    </row>
    <row r="798">
      <c r="D798" s="13"/>
      <c r="G798" s="14"/>
    </row>
    <row r="799">
      <c r="D799" s="13"/>
      <c r="G799" s="14"/>
    </row>
    <row r="800">
      <c r="D800" s="13"/>
      <c r="G800" s="14"/>
    </row>
    <row r="801">
      <c r="D801" s="13"/>
      <c r="G801" s="14"/>
    </row>
    <row r="802">
      <c r="D802" s="13"/>
      <c r="G802" s="14"/>
    </row>
    <row r="803">
      <c r="D803" s="13"/>
      <c r="G803" s="14"/>
    </row>
    <row r="804">
      <c r="D804" s="13"/>
      <c r="G804" s="14"/>
    </row>
    <row r="805">
      <c r="D805" s="13"/>
      <c r="G805" s="14"/>
    </row>
    <row r="806">
      <c r="D806" s="13"/>
      <c r="G806" s="14"/>
    </row>
    <row r="807">
      <c r="D807" s="13"/>
      <c r="G807" s="14"/>
    </row>
    <row r="808">
      <c r="D808" s="13"/>
      <c r="G808" s="14"/>
    </row>
    <row r="809">
      <c r="D809" s="13"/>
      <c r="G809" s="14"/>
    </row>
    <row r="810">
      <c r="D810" s="13"/>
      <c r="G810" s="14"/>
    </row>
    <row r="811">
      <c r="D811" s="13"/>
      <c r="G811" s="14"/>
    </row>
    <row r="812">
      <c r="D812" s="13"/>
      <c r="G812" s="14"/>
    </row>
    <row r="813">
      <c r="D813" s="13"/>
      <c r="G813" s="14"/>
    </row>
    <row r="814">
      <c r="D814" s="13"/>
      <c r="G814" s="14"/>
    </row>
    <row r="815">
      <c r="D815" s="13"/>
      <c r="G815" s="14"/>
    </row>
    <row r="816">
      <c r="D816" s="13"/>
      <c r="G816" s="14"/>
    </row>
    <row r="817">
      <c r="D817" s="13"/>
      <c r="G817" s="14"/>
    </row>
    <row r="818">
      <c r="D818" s="13"/>
      <c r="G818" s="14"/>
    </row>
    <row r="819">
      <c r="D819" s="13"/>
      <c r="G819" s="14"/>
    </row>
    <row r="820">
      <c r="D820" s="13"/>
      <c r="G820" s="14"/>
    </row>
    <row r="821">
      <c r="D821" s="13"/>
      <c r="G821" s="14"/>
    </row>
    <row r="822">
      <c r="D822" s="13"/>
      <c r="G822" s="14"/>
    </row>
    <row r="823">
      <c r="D823" s="13"/>
      <c r="G823" s="14"/>
    </row>
    <row r="824">
      <c r="D824" s="13"/>
      <c r="G824" s="14"/>
    </row>
    <row r="825">
      <c r="D825" s="13"/>
      <c r="G825" s="14"/>
    </row>
    <row r="826">
      <c r="D826" s="13"/>
      <c r="G826" s="14"/>
    </row>
    <row r="827">
      <c r="D827" s="13"/>
      <c r="G827" s="14"/>
    </row>
    <row r="828">
      <c r="D828" s="13"/>
      <c r="G828" s="14"/>
    </row>
    <row r="829">
      <c r="D829" s="13"/>
      <c r="G829" s="14"/>
    </row>
    <row r="830">
      <c r="D830" s="13"/>
      <c r="G830" s="14"/>
    </row>
    <row r="831">
      <c r="D831" s="13"/>
      <c r="G831" s="14"/>
    </row>
    <row r="832">
      <c r="D832" s="13"/>
      <c r="G832" s="14"/>
    </row>
    <row r="833">
      <c r="D833" s="13"/>
      <c r="G833" s="14"/>
    </row>
    <row r="834">
      <c r="D834" s="13"/>
      <c r="G834" s="14"/>
    </row>
    <row r="835">
      <c r="D835" s="13"/>
      <c r="G835" s="14"/>
    </row>
    <row r="836">
      <c r="D836" s="13"/>
      <c r="G836" s="14"/>
    </row>
    <row r="837">
      <c r="D837" s="13"/>
      <c r="G837" s="14"/>
    </row>
    <row r="838">
      <c r="D838" s="13"/>
      <c r="G838" s="14"/>
    </row>
    <row r="839">
      <c r="D839" s="13"/>
      <c r="G839" s="14"/>
    </row>
    <row r="840">
      <c r="D840" s="13"/>
      <c r="G840" s="14"/>
    </row>
    <row r="841">
      <c r="D841" s="13"/>
      <c r="G841" s="14"/>
    </row>
    <row r="842">
      <c r="D842" s="13"/>
      <c r="G842" s="14"/>
    </row>
    <row r="843">
      <c r="D843" s="13"/>
      <c r="G843" s="14"/>
    </row>
    <row r="844">
      <c r="D844" s="13"/>
      <c r="G844" s="14"/>
    </row>
    <row r="845">
      <c r="D845" s="13"/>
      <c r="G845" s="14"/>
    </row>
    <row r="846">
      <c r="D846" s="13"/>
      <c r="G846" s="14"/>
    </row>
    <row r="847">
      <c r="D847" s="13"/>
      <c r="G847" s="14"/>
    </row>
    <row r="848">
      <c r="D848" s="13"/>
      <c r="G848" s="14"/>
    </row>
    <row r="849">
      <c r="D849" s="13"/>
      <c r="G849" s="14"/>
    </row>
    <row r="850">
      <c r="D850" s="13"/>
      <c r="G850" s="14"/>
    </row>
    <row r="851">
      <c r="D851" s="13"/>
      <c r="G851" s="14"/>
    </row>
    <row r="852">
      <c r="D852" s="13"/>
      <c r="G852" s="14"/>
    </row>
    <row r="853">
      <c r="D853" s="13"/>
      <c r="G853" s="14"/>
    </row>
    <row r="854">
      <c r="D854" s="13"/>
      <c r="G854" s="14"/>
    </row>
    <row r="855">
      <c r="D855" s="13"/>
      <c r="G855" s="14"/>
    </row>
    <row r="856">
      <c r="D856" s="13"/>
      <c r="G856" s="14"/>
    </row>
    <row r="857">
      <c r="D857" s="13"/>
      <c r="G857" s="14"/>
    </row>
    <row r="858">
      <c r="D858" s="13"/>
      <c r="G858" s="14"/>
    </row>
    <row r="859">
      <c r="D859" s="13"/>
      <c r="G859" s="14"/>
    </row>
    <row r="860">
      <c r="D860" s="13"/>
      <c r="G860" s="14"/>
    </row>
    <row r="861">
      <c r="D861" s="13"/>
      <c r="G861" s="14"/>
    </row>
    <row r="862">
      <c r="D862" s="13"/>
      <c r="G862" s="14"/>
    </row>
    <row r="863">
      <c r="D863" s="13"/>
      <c r="G863" s="14"/>
    </row>
    <row r="864">
      <c r="D864" s="13"/>
      <c r="G864" s="14"/>
    </row>
    <row r="865">
      <c r="D865" s="13"/>
      <c r="G865" s="14"/>
    </row>
    <row r="866">
      <c r="D866" s="13"/>
      <c r="G866" s="14"/>
    </row>
    <row r="867">
      <c r="D867" s="13"/>
      <c r="G867" s="14"/>
    </row>
    <row r="868">
      <c r="D868" s="13"/>
      <c r="G868" s="14"/>
    </row>
    <row r="869">
      <c r="D869" s="13"/>
      <c r="G869" s="14"/>
    </row>
    <row r="870">
      <c r="D870" s="13"/>
      <c r="G870" s="14"/>
    </row>
    <row r="871">
      <c r="D871" s="13"/>
      <c r="G871" s="14"/>
    </row>
    <row r="872">
      <c r="D872" s="13"/>
      <c r="G872" s="14"/>
    </row>
    <row r="873">
      <c r="D873" s="13"/>
      <c r="G873" s="14"/>
    </row>
    <row r="874">
      <c r="D874" s="13"/>
      <c r="G874" s="14"/>
    </row>
    <row r="875">
      <c r="D875" s="13"/>
      <c r="G875" s="14"/>
    </row>
    <row r="876">
      <c r="D876" s="13"/>
      <c r="G876" s="14"/>
    </row>
    <row r="877">
      <c r="D877" s="13"/>
      <c r="G877" s="14"/>
    </row>
    <row r="878">
      <c r="D878" s="13"/>
      <c r="G878" s="14"/>
    </row>
    <row r="879">
      <c r="D879" s="13"/>
      <c r="G879" s="14"/>
    </row>
    <row r="880">
      <c r="D880" s="13"/>
      <c r="G880" s="14"/>
    </row>
    <row r="881">
      <c r="D881" s="13"/>
      <c r="G881" s="14"/>
    </row>
    <row r="882">
      <c r="D882" s="13"/>
      <c r="G882" s="14"/>
    </row>
    <row r="883">
      <c r="D883" s="13"/>
      <c r="G883" s="14"/>
    </row>
    <row r="884">
      <c r="D884" s="13"/>
      <c r="G884" s="14"/>
    </row>
    <row r="885">
      <c r="D885" s="13"/>
      <c r="G885" s="14"/>
    </row>
    <row r="886">
      <c r="D886" s="13"/>
      <c r="G886" s="14"/>
    </row>
    <row r="887">
      <c r="D887" s="13"/>
      <c r="G887" s="14"/>
    </row>
    <row r="888">
      <c r="D888" s="13"/>
      <c r="G888" s="14"/>
    </row>
    <row r="889">
      <c r="D889" s="13"/>
      <c r="G889" s="14"/>
    </row>
    <row r="890">
      <c r="D890" s="13"/>
      <c r="G890" s="14"/>
    </row>
    <row r="891">
      <c r="D891" s="13"/>
      <c r="G891" s="14"/>
    </row>
    <row r="892">
      <c r="D892" s="13"/>
      <c r="G892" s="14"/>
    </row>
    <row r="893">
      <c r="D893" s="13"/>
      <c r="G893" s="14"/>
    </row>
    <row r="894">
      <c r="D894" s="13"/>
      <c r="G894" s="14"/>
    </row>
    <row r="895">
      <c r="D895" s="13"/>
      <c r="G895" s="14"/>
    </row>
    <row r="896">
      <c r="D896" s="13"/>
      <c r="G896" s="14"/>
    </row>
    <row r="897">
      <c r="D897" s="13"/>
      <c r="G897" s="14"/>
    </row>
    <row r="898">
      <c r="D898" s="13"/>
      <c r="G898" s="14"/>
    </row>
    <row r="899">
      <c r="D899" s="13"/>
      <c r="G899" s="14"/>
    </row>
    <row r="900">
      <c r="D900" s="13"/>
      <c r="G900" s="14"/>
    </row>
    <row r="901">
      <c r="D901" s="13"/>
      <c r="G901" s="14"/>
    </row>
    <row r="902">
      <c r="D902" s="13"/>
      <c r="G902" s="14"/>
    </row>
    <row r="903">
      <c r="D903" s="13"/>
      <c r="G903" s="14"/>
    </row>
    <row r="904">
      <c r="D904" s="13"/>
      <c r="G904" s="14"/>
    </row>
    <row r="905">
      <c r="D905" s="13"/>
      <c r="G905" s="14"/>
    </row>
    <row r="906">
      <c r="D906" s="13"/>
      <c r="G906" s="14"/>
    </row>
    <row r="907">
      <c r="D907" s="13"/>
      <c r="G907" s="14"/>
    </row>
    <row r="908">
      <c r="D908" s="13"/>
      <c r="G908" s="14"/>
    </row>
    <row r="909">
      <c r="D909" s="13"/>
      <c r="G909" s="14"/>
    </row>
    <row r="910">
      <c r="D910" s="13"/>
      <c r="G910" s="14"/>
    </row>
    <row r="911">
      <c r="D911" s="13"/>
      <c r="G911" s="14"/>
    </row>
    <row r="912">
      <c r="D912" s="13"/>
      <c r="G912" s="14"/>
    </row>
    <row r="913">
      <c r="D913" s="13"/>
      <c r="G913" s="14"/>
    </row>
    <row r="914">
      <c r="D914" s="13"/>
      <c r="G914" s="14"/>
    </row>
    <row r="915">
      <c r="D915" s="13"/>
      <c r="G915" s="14"/>
    </row>
    <row r="916">
      <c r="D916" s="13"/>
      <c r="G916" s="14"/>
    </row>
    <row r="917">
      <c r="D917" s="13"/>
      <c r="G917" s="14"/>
    </row>
    <row r="918">
      <c r="D918" s="13"/>
      <c r="G918" s="14"/>
    </row>
    <row r="919">
      <c r="D919" s="13"/>
      <c r="G919" s="14"/>
    </row>
    <row r="920">
      <c r="D920" s="13"/>
      <c r="G920" s="14"/>
    </row>
    <row r="921">
      <c r="D921" s="13"/>
      <c r="G921" s="14"/>
    </row>
    <row r="922">
      <c r="D922" s="13"/>
      <c r="G922" s="14"/>
    </row>
    <row r="923">
      <c r="D923" s="13"/>
      <c r="G923" s="14"/>
    </row>
    <row r="924">
      <c r="D924" s="13"/>
      <c r="G924" s="14"/>
    </row>
    <row r="925">
      <c r="D925" s="13"/>
      <c r="G925" s="14"/>
    </row>
    <row r="926">
      <c r="D926" s="13"/>
      <c r="G926" s="14"/>
    </row>
    <row r="927">
      <c r="D927" s="13"/>
      <c r="G927" s="14"/>
    </row>
    <row r="928">
      <c r="D928" s="13"/>
      <c r="G928" s="14"/>
    </row>
    <row r="929">
      <c r="D929" s="13"/>
      <c r="G929" s="14"/>
    </row>
    <row r="930">
      <c r="D930" s="13"/>
      <c r="G930" s="14"/>
    </row>
    <row r="931">
      <c r="D931" s="13"/>
      <c r="G931" s="14"/>
    </row>
    <row r="932">
      <c r="D932" s="13"/>
      <c r="G932" s="14"/>
    </row>
    <row r="933">
      <c r="D933" s="13"/>
      <c r="G933" s="14"/>
    </row>
    <row r="934">
      <c r="D934" s="13"/>
      <c r="G934" s="14"/>
    </row>
    <row r="935">
      <c r="D935" s="13"/>
      <c r="G935" s="14"/>
    </row>
    <row r="936">
      <c r="D936" s="13"/>
      <c r="G936" s="14"/>
    </row>
    <row r="937">
      <c r="D937" s="13"/>
      <c r="G937" s="14"/>
    </row>
    <row r="938">
      <c r="D938" s="13"/>
      <c r="G938" s="14"/>
    </row>
    <row r="939">
      <c r="D939" s="13"/>
      <c r="G939" s="14"/>
    </row>
    <row r="940">
      <c r="D940" s="13"/>
      <c r="G940" s="14"/>
    </row>
    <row r="941">
      <c r="D941" s="13"/>
      <c r="G941" s="14"/>
    </row>
    <row r="942">
      <c r="D942" s="13"/>
      <c r="G942" s="14"/>
    </row>
    <row r="943">
      <c r="D943" s="13"/>
      <c r="G943" s="14"/>
    </row>
    <row r="944">
      <c r="D944" s="13"/>
      <c r="G944" s="14"/>
    </row>
    <row r="945">
      <c r="D945" s="13"/>
      <c r="G945" s="14"/>
    </row>
    <row r="946">
      <c r="D946" s="13"/>
      <c r="G946" s="14"/>
    </row>
    <row r="947">
      <c r="D947" s="13"/>
      <c r="G947" s="14"/>
    </row>
    <row r="948">
      <c r="D948" s="13"/>
      <c r="G948" s="14"/>
    </row>
    <row r="949">
      <c r="D949" s="13"/>
      <c r="G949" s="14"/>
    </row>
    <row r="950">
      <c r="D950" s="13"/>
      <c r="G950" s="14"/>
    </row>
    <row r="951">
      <c r="D951" s="13"/>
      <c r="G951" s="14"/>
    </row>
    <row r="952">
      <c r="D952" s="13"/>
      <c r="G952" s="14"/>
    </row>
    <row r="953">
      <c r="D953" s="13"/>
      <c r="G953" s="14"/>
    </row>
    <row r="954">
      <c r="D954" s="13"/>
      <c r="G954" s="14"/>
    </row>
    <row r="955">
      <c r="D955" s="13"/>
      <c r="G955" s="14"/>
    </row>
    <row r="956">
      <c r="D956" s="13"/>
      <c r="G956" s="14"/>
    </row>
    <row r="957">
      <c r="D957" s="13"/>
      <c r="G957" s="14"/>
    </row>
    <row r="958">
      <c r="D958" s="13"/>
      <c r="G958" s="14"/>
    </row>
    <row r="959">
      <c r="D959" s="13"/>
      <c r="G959" s="14"/>
    </row>
    <row r="960">
      <c r="D960" s="13"/>
      <c r="G960" s="14"/>
    </row>
    <row r="961">
      <c r="D961" s="13"/>
      <c r="G961" s="14"/>
    </row>
    <row r="962">
      <c r="D962" s="13"/>
      <c r="G962" s="14"/>
    </row>
    <row r="963">
      <c r="D963" s="13"/>
      <c r="G963" s="14"/>
    </row>
    <row r="964">
      <c r="D964" s="13"/>
      <c r="G964" s="14"/>
    </row>
    <row r="965">
      <c r="D965" s="13"/>
      <c r="G965" s="14"/>
    </row>
    <row r="966">
      <c r="D966" s="13"/>
      <c r="G966" s="14"/>
    </row>
    <row r="967">
      <c r="D967" s="13"/>
      <c r="G967" s="14"/>
    </row>
    <row r="968">
      <c r="D968" s="13"/>
      <c r="G968" s="14"/>
    </row>
    <row r="969">
      <c r="D969" s="13"/>
      <c r="G969" s="14"/>
    </row>
    <row r="970">
      <c r="D970" s="13"/>
      <c r="G970" s="14"/>
    </row>
    <row r="971">
      <c r="D971" s="13"/>
      <c r="G971" s="14"/>
    </row>
    <row r="972">
      <c r="D972" s="13"/>
      <c r="G972" s="14"/>
    </row>
    <row r="973">
      <c r="D973" s="13"/>
      <c r="G973" s="14"/>
    </row>
    <row r="974">
      <c r="D974" s="13"/>
      <c r="G974" s="14"/>
    </row>
    <row r="975">
      <c r="D975" s="13"/>
      <c r="G975" s="14"/>
    </row>
    <row r="976">
      <c r="D976" s="13"/>
      <c r="G976" s="14"/>
    </row>
    <row r="977">
      <c r="D977" s="13"/>
      <c r="G977" s="14"/>
    </row>
    <row r="978">
      <c r="D978" s="13"/>
      <c r="G978" s="14"/>
    </row>
    <row r="979">
      <c r="D979" s="13"/>
      <c r="G979" s="14"/>
    </row>
    <row r="980">
      <c r="D980" s="13"/>
      <c r="G980" s="14"/>
    </row>
    <row r="981">
      <c r="D981" s="13"/>
      <c r="G981" s="14"/>
    </row>
    <row r="982">
      <c r="D982" s="13"/>
      <c r="G982" s="14"/>
    </row>
    <row r="983">
      <c r="D983" s="13"/>
      <c r="G983" s="14"/>
    </row>
    <row r="984">
      <c r="D984" s="13"/>
      <c r="G984" s="14"/>
    </row>
    <row r="985">
      <c r="D985" s="13"/>
      <c r="G985" s="14"/>
    </row>
    <row r="986">
      <c r="D986" s="13"/>
      <c r="G986" s="14"/>
    </row>
    <row r="987">
      <c r="D987" s="13"/>
      <c r="G987" s="14"/>
    </row>
    <row r="988">
      <c r="D988" s="13"/>
      <c r="G988" s="14"/>
    </row>
    <row r="989">
      <c r="D989" s="13"/>
      <c r="G989" s="14"/>
    </row>
    <row r="990">
      <c r="D990" s="13"/>
      <c r="G990" s="14"/>
    </row>
    <row r="991">
      <c r="D991" s="13"/>
      <c r="G991" s="14"/>
    </row>
    <row r="992">
      <c r="D992" s="13"/>
      <c r="G992" s="14"/>
    </row>
    <row r="993">
      <c r="D993" s="13"/>
      <c r="G993" s="14"/>
    </row>
    <row r="994">
      <c r="D994" s="13"/>
      <c r="G994" s="14"/>
    </row>
    <row r="995">
      <c r="D995" s="13"/>
      <c r="G995" s="14"/>
    </row>
    <row r="996">
      <c r="D996" s="13"/>
      <c r="G996" s="14"/>
    </row>
    <row r="997">
      <c r="D997" s="13"/>
      <c r="G997" s="14"/>
    </row>
    <row r="998">
      <c r="D998" s="13"/>
      <c r="G998" s="14"/>
    </row>
    <row r="999">
      <c r="D999" s="13"/>
      <c r="G999" s="14"/>
    </row>
    <row r="1000">
      <c r="D1000" s="13"/>
      <c r="G1000" s="14"/>
    </row>
  </sheetData>
  <mergeCells count="3">
    <mergeCell ref="A1:Z1"/>
    <mergeCell ref="A10:Z10"/>
    <mergeCell ref="A14:Z14"/>
  </mergeCells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8.43"/>
  </cols>
  <sheetData>
    <row r="1">
      <c r="A1" s="31" t="s">
        <v>44</v>
      </c>
      <c r="B1" s="31" t="s">
        <v>45</v>
      </c>
      <c r="C1" s="31" t="s">
        <v>46</v>
      </c>
      <c r="D1" s="31" t="s">
        <v>47</v>
      </c>
      <c r="E1" s="31" t="s">
        <v>48</v>
      </c>
      <c r="F1" s="31" t="s">
        <v>49</v>
      </c>
      <c r="G1" s="31" t="s">
        <v>50</v>
      </c>
      <c r="H1" s="31" t="s">
        <v>51</v>
      </c>
      <c r="I1" s="31" t="s">
        <v>52</v>
      </c>
      <c r="J1" s="31" t="s">
        <v>53</v>
      </c>
      <c r="K1" s="31" t="s">
        <v>54</v>
      </c>
      <c r="L1" s="31" t="s">
        <v>55</v>
      </c>
      <c r="M1" s="31" t="s">
        <v>56</v>
      </c>
      <c r="N1" s="31" t="s">
        <v>57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tr">
        <f>LIB!A16</f>
        <v>google / cpc</v>
      </c>
      <c r="B2" s="34">
        <f>LIB!B16</f>
        <v>44034</v>
      </c>
      <c r="C2" s="14">
        <f>LIB!G16</f>
        <v>0</v>
      </c>
      <c r="D2" s="14">
        <f t="shared" ref="D2:D31" si="1">C2*1.2</f>
        <v>0</v>
      </c>
      <c r="E2" s="33">
        <f>LIB!E16</f>
        <v>0</v>
      </c>
      <c r="F2" s="33">
        <f>LIB!F16</f>
        <v>0</v>
      </c>
      <c r="G2" s="13" t="str">
        <f t="shared" ref="G2:G31" si="2">F2/E2</f>
        <v>#DIV/0!</v>
      </c>
      <c r="H2" s="14" t="str">
        <f t="shared" ref="H2:H31" si="3">D2/F2</f>
        <v>#DIV/0!</v>
      </c>
      <c r="I2" s="14">
        <f t="shared" ref="I2:I5" si="4">D2*1.55</f>
        <v>0</v>
      </c>
      <c r="K2" s="35" t="str">
        <f t="shared" ref="K2:K31" si="5">I2/D2</f>
        <v>#DIV/0!</v>
      </c>
      <c r="M2" s="14" t="str">
        <f t="shared" ref="M2:M31" si="6">I2/F2</f>
        <v>#DIV/0!</v>
      </c>
      <c r="N2" s="13">
        <f>LIB!D16</f>
        <v>0.9444444444</v>
      </c>
    </row>
    <row r="3">
      <c r="A3" s="33" t="str">
        <f>LIB!A17</f>
        <v>google / cpc</v>
      </c>
      <c r="B3" s="34">
        <f>LIB!B17</f>
        <v>44035</v>
      </c>
      <c r="C3" s="14">
        <f>LIB!G17</f>
        <v>77.189121</v>
      </c>
      <c r="D3" s="14">
        <f t="shared" si="1"/>
        <v>92.6269452</v>
      </c>
      <c r="E3" s="33">
        <f>LIB!E17</f>
        <v>8288</v>
      </c>
      <c r="F3" s="33">
        <f>LIB!F17</f>
        <v>978</v>
      </c>
      <c r="G3" s="13">
        <f t="shared" si="2"/>
        <v>0.1180019305</v>
      </c>
      <c r="H3" s="14">
        <f t="shared" si="3"/>
        <v>0.09471057791</v>
      </c>
      <c r="I3" s="14">
        <f t="shared" si="4"/>
        <v>143.5717651</v>
      </c>
      <c r="K3" s="35">
        <f t="shared" si="5"/>
        <v>1.55</v>
      </c>
      <c r="M3" s="14">
        <f t="shared" si="6"/>
        <v>0.1468013958</v>
      </c>
      <c r="N3" s="13">
        <f>LIB!D17</f>
        <v>0.8639523337</v>
      </c>
    </row>
    <row r="4">
      <c r="A4" s="33" t="str">
        <f>LIB!A18</f>
        <v>google / cpc</v>
      </c>
      <c r="B4" s="34">
        <f>LIB!B18</f>
        <v>44036</v>
      </c>
      <c r="C4" s="14">
        <f>LIB!G18</f>
        <v>135.710732</v>
      </c>
      <c r="D4" s="14">
        <f t="shared" si="1"/>
        <v>162.8528784</v>
      </c>
      <c r="E4" s="33">
        <f>LIB!E18</f>
        <v>13924</v>
      </c>
      <c r="F4" s="33">
        <f>LIB!F18</f>
        <v>1864</v>
      </c>
      <c r="G4" s="13">
        <f t="shared" si="2"/>
        <v>0.1338695777</v>
      </c>
      <c r="H4" s="14">
        <f t="shared" si="3"/>
        <v>0.08736742403</v>
      </c>
      <c r="I4" s="14">
        <f t="shared" si="4"/>
        <v>252.4219615</v>
      </c>
      <c r="K4" s="35">
        <f t="shared" si="5"/>
        <v>1.55</v>
      </c>
      <c r="M4" s="14">
        <f t="shared" si="6"/>
        <v>0.1354195073</v>
      </c>
      <c r="N4" s="13">
        <f>LIB!D18</f>
        <v>0.8443080357</v>
      </c>
    </row>
    <row r="5">
      <c r="A5" s="33" t="str">
        <f>LIB!A19</f>
        <v>google / cpc</v>
      </c>
      <c r="B5" s="34">
        <f>LIB!B19</f>
        <v>44037</v>
      </c>
      <c r="C5" s="14">
        <f>LIB!G19</f>
        <v>147.028699</v>
      </c>
      <c r="D5" s="14">
        <f t="shared" si="1"/>
        <v>176.4344388</v>
      </c>
      <c r="E5" s="33">
        <f>LIB!E19</f>
        <v>13748</v>
      </c>
      <c r="F5" s="33">
        <f>LIB!F19</f>
        <v>1783</v>
      </c>
      <c r="G5" s="13">
        <f t="shared" si="2"/>
        <v>0.1296915915</v>
      </c>
      <c r="H5" s="14">
        <f t="shared" si="3"/>
        <v>0.09895369534</v>
      </c>
      <c r="I5" s="14">
        <f t="shared" si="4"/>
        <v>273.4733801</v>
      </c>
      <c r="K5" s="35">
        <f t="shared" si="5"/>
        <v>1.55</v>
      </c>
      <c r="M5" s="14">
        <f t="shared" si="6"/>
        <v>0.1533782278</v>
      </c>
      <c r="N5" s="13">
        <f>LIB!D19</f>
        <v>0.860968661</v>
      </c>
    </row>
    <row r="6">
      <c r="A6" s="33" t="str">
        <f>LIB!A20</f>
        <v>google / cpc</v>
      </c>
      <c r="B6" s="34">
        <f>LIB!B20</f>
        <v>44038</v>
      </c>
      <c r="C6" s="14">
        <f>LIB!G20</f>
        <v>51.349739</v>
      </c>
      <c r="D6" s="14">
        <f t="shared" si="1"/>
        <v>61.6196868</v>
      </c>
      <c r="E6" s="33">
        <f>LIB!E20</f>
        <v>5028</v>
      </c>
      <c r="F6" s="33">
        <f>LIB!F20</f>
        <v>673</v>
      </c>
      <c r="G6" s="13">
        <f t="shared" si="2"/>
        <v>0.1338504375</v>
      </c>
      <c r="H6" s="14">
        <f t="shared" si="3"/>
        <v>0.09155971293</v>
      </c>
      <c r="I6" s="14">
        <f>D6*1.24</f>
        <v>76.40841163</v>
      </c>
      <c r="K6" s="35">
        <f t="shared" si="5"/>
        <v>1.24</v>
      </c>
      <c r="M6" s="14">
        <f t="shared" si="6"/>
        <v>0.113534044</v>
      </c>
      <c r="N6" s="13">
        <f>LIB!D20</f>
        <v>0.8637640449</v>
      </c>
    </row>
    <row r="7">
      <c r="A7" s="33" t="str">
        <f>LIB!A21</f>
        <v>google / cpc</v>
      </c>
      <c r="B7" s="34">
        <f>LIB!B21</f>
        <v>44039</v>
      </c>
      <c r="C7" s="14">
        <f>LIB!G21</f>
        <v>0</v>
      </c>
      <c r="D7" s="14">
        <f t="shared" si="1"/>
        <v>0</v>
      </c>
      <c r="E7" s="33">
        <f>LIB!E21</f>
        <v>0</v>
      </c>
      <c r="F7" s="33">
        <f>LIB!F21</f>
        <v>0</v>
      </c>
      <c r="G7" s="13" t="str">
        <f t="shared" si="2"/>
        <v>#DIV/0!</v>
      </c>
      <c r="H7" s="14" t="str">
        <f t="shared" si="3"/>
        <v>#DIV/0!</v>
      </c>
      <c r="I7" s="14">
        <f>D7*1.53</f>
        <v>0</v>
      </c>
      <c r="K7" s="35" t="str">
        <f t="shared" si="5"/>
        <v>#DIV/0!</v>
      </c>
      <c r="M7" s="14" t="str">
        <f t="shared" si="6"/>
        <v>#DIV/0!</v>
      </c>
      <c r="N7" s="13">
        <f>LIB!D21</f>
        <v>0.8974358974</v>
      </c>
    </row>
    <row r="8">
      <c r="A8" s="33" t="str">
        <f>LIB!A22</f>
        <v>google / cpc</v>
      </c>
      <c r="B8" s="34">
        <f>LIB!B22</f>
        <v>44040</v>
      </c>
      <c r="C8" s="14">
        <f>LIB!G22</f>
        <v>0</v>
      </c>
      <c r="D8" s="14">
        <f t="shared" si="1"/>
        <v>0</v>
      </c>
      <c r="E8" s="33">
        <f>LIB!E22</f>
        <v>0</v>
      </c>
      <c r="F8" s="33">
        <f>LIB!F22</f>
        <v>0</v>
      </c>
      <c r="G8" s="13" t="str">
        <f t="shared" si="2"/>
        <v>#DIV/0!</v>
      </c>
      <c r="H8" s="14" t="str">
        <f t="shared" si="3"/>
        <v>#DIV/0!</v>
      </c>
      <c r="I8" s="14">
        <f t="shared" ref="I8:I16" si="7">D8*1.55</f>
        <v>0</v>
      </c>
      <c r="K8" s="35" t="str">
        <f t="shared" si="5"/>
        <v>#DIV/0!</v>
      </c>
      <c r="M8" s="14" t="str">
        <f t="shared" si="6"/>
        <v>#DIV/0!</v>
      </c>
      <c r="N8" s="13">
        <f>LIB!D22</f>
        <v>0.9722222222</v>
      </c>
    </row>
    <row r="9">
      <c r="A9" s="33" t="str">
        <f>LIB!A23</f>
        <v>google / cpc</v>
      </c>
      <c r="B9" s="34">
        <f>LIB!B23</f>
        <v>44041</v>
      </c>
      <c r="C9" s="14">
        <f>LIB!G23</f>
        <v>0</v>
      </c>
      <c r="D9" s="14">
        <f t="shared" si="1"/>
        <v>0</v>
      </c>
      <c r="E9" s="33">
        <f>LIB!E23</f>
        <v>0</v>
      </c>
      <c r="F9" s="33">
        <f>LIB!F23</f>
        <v>0</v>
      </c>
      <c r="G9" s="13" t="str">
        <f t="shared" si="2"/>
        <v>#DIV/0!</v>
      </c>
      <c r="H9" s="14" t="str">
        <f t="shared" si="3"/>
        <v>#DIV/0!</v>
      </c>
      <c r="I9" s="14">
        <f t="shared" si="7"/>
        <v>0</v>
      </c>
      <c r="K9" s="35" t="str">
        <f t="shared" si="5"/>
        <v>#DIV/0!</v>
      </c>
      <c r="M9" s="14" t="str">
        <f t="shared" si="6"/>
        <v>#DIV/0!</v>
      </c>
      <c r="N9" s="13">
        <f>LIB!D23</f>
        <v>0.9565217391</v>
      </c>
    </row>
    <row r="10">
      <c r="A10" s="33" t="str">
        <f>LIB!A24</f>
        <v>google / cpc</v>
      </c>
      <c r="B10" s="34">
        <f>LIB!B24</f>
        <v>44042</v>
      </c>
      <c r="C10" s="14">
        <f>LIB!G24</f>
        <v>0</v>
      </c>
      <c r="D10" s="14">
        <f t="shared" si="1"/>
        <v>0</v>
      </c>
      <c r="E10" s="33">
        <f>LIB!E24</f>
        <v>0</v>
      </c>
      <c r="F10" s="33">
        <f>LIB!F24</f>
        <v>0</v>
      </c>
      <c r="G10" s="13" t="str">
        <f t="shared" si="2"/>
        <v>#DIV/0!</v>
      </c>
      <c r="H10" s="14" t="str">
        <f t="shared" si="3"/>
        <v>#DIV/0!</v>
      </c>
      <c r="I10" s="14">
        <f t="shared" si="7"/>
        <v>0</v>
      </c>
      <c r="K10" s="35" t="str">
        <f t="shared" si="5"/>
        <v>#DIV/0!</v>
      </c>
      <c r="M10" s="14" t="str">
        <f t="shared" si="6"/>
        <v>#DIV/0!</v>
      </c>
      <c r="N10" s="13">
        <f>LIB!D24</f>
        <v>0.9523809524</v>
      </c>
    </row>
    <row r="11">
      <c r="A11" s="33" t="str">
        <f>LIB!A25</f>
        <v>google / cpc</v>
      </c>
      <c r="B11" s="34">
        <f>LIB!B25</f>
        <v>44043</v>
      </c>
      <c r="C11" s="14">
        <f>LIB!G25</f>
        <v>0</v>
      </c>
      <c r="D11" s="14">
        <f t="shared" si="1"/>
        <v>0</v>
      </c>
      <c r="E11" s="33">
        <f>LIB!E25</f>
        <v>0</v>
      </c>
      <c r="F11" s="33">
        <f>LIB!F25</f>
        <v>0</v>
      </c>
      <c r="G11" s="13" t="str">
        <f t="shared" si="2"/>
        <v>#DIV/0!</v>
      </c>
      <c r="H11" s="14" t="str">
        <f t="shared" si="3"/>
        <v>#DIV/0!</v>
      </c>
      <c r="I11" s="14">
        <f t="shared" si="7"/>
        <v>0</v>
      </c>
      <c r="K11" s="35" t="str">
        <f t="shared" si="5"/>
        <v>#DIV/0!</v>
      </c>
      <c r="M11" s="14" t="str">
        <f t="shared" si="6"/>
        <v>#DIV/0!</v>
      </c>
      <c r="N11" s="13">
        <f>LIB!D25</f>
        <v>0.825</v>
      </c>
    </row>
    <row r="12">
      <c r="A12" s="33" t="str">
        <f>LIB!A26</f>
        <v>google / cpc</v>
      </c>
      <c r="B12" s="34">
        <f>LIB!B26</f>
        <v>44044</v>
      </c>
      <c r="C12" s="14">
        <f>LIB!G26</f>
        <v>105.193334</v>
      </c>
      <c r="D12" s="14">
        <f t="shared" si="1"/>
        <v>126.2320008</v>
      </c>
      <c r="E12" s="33">
        <f>LIB!E26</f>
        <v>11712</v>
      </c>
      <c r="F12" s="33">
        <f>LIB!F26</f>
        <v>1505</v>
      </c>
      <c r="G12" s="13">
        <f t="shared" si="2"/>
        <v>0.1285006831</v>
      </c>
      <c r="H12" s="14">
        <f t="shared" si="3"/>
        <v>0.08387508359</v>
      </c>
      <c r="I12" s="14">
        <f t="shared" si="7"/>
        <v>195.6596012</v>
      </c>
      <c r="K12" s="35">
        <f t="shared" si="5"/>
        <v>1.55</v>
      </c>
      <c r="M12" s="14">
        <f t="shared" si="6"/>
        <v>0.1300063796</v>
      </c>
      <c r="N12" s="13">
        <f>LIB!D26</f>
        <v>0.8512679918</v>
      </c>
    </row>
    <row r="13">
      <c r="A13" s="33" t="str">
        <f>LIB!A27</f>
        <v>google / cpc</v>
      </c>
      <c r="B13" s="34">
        <f>LIB!B27</f>
        <v>44045</v>
      </c>
      <c r="C13" s="14">
        <f>LIB!G27</f>
        <v>107.603151</v>
      </c>
      <c r="D13" s="14">
        <f t="shared" si="1"/>
        <v>129.1237812</v>
      </c>
      <c r="E13" s="33">
        <f>LIB!E27</f>
        <v>12174</v>
      </c>
      <c r="F13" s="33">
        <f>LIB!F27</f>
        <v>1548</v>
      </c>
      <c r="G13" s="13">
        <f t="shared" si="2"/>
        <v>0.1271562346</v>
      </c>
      <c r="H13" s="14">
        <f t="shared" si="3"/>
        <v>0.08341329535</v>
      </c>
      <c r="I13" s="14">
        <f t="shared" si="7"/>
        <v>200.1418609</v>
      </c>
      <c r="K13" s="35">
        <f t="shared" si="5"/>
        <v>1.55</v>
      </c>
      <c r="M13" s="14">
        <f t="shared" si="6"/>
        <v>0.1292906078</v>
      </c>
      <c r="N13" s="13">
        <f>LIB!D27</f>
        <v>0.8490566038</v>
      </c>
    </row>
    <row r="14">
      <c r="A14" s="33" t="str">
        <f>LIB!A28</f>
        <v>google / cpc</v>
      </c>
      <c r="B14" s="34">
        <f>LIB!B28</f>
        <v>44046</v>
      </c>
      <c r="C14" s="14">
        <f>LIB!G28</f>
        <v>112.07402</v>
      </c>
      <c r="D14" s="14">
        <f t="shared" si="1"/>
        <v>134.488824</v>
      </c>
      <c r="E14" s="33">
        <f>LIB!E28</f>
        <v>12207</v>
      </c>
      <c r="F14" s="33">
        <f>LIB!F28</f>
        <v>1573</v>
      </c>
      <c r="G14" s="13">
        <f t="shared" si="2"/>
        <v>0.1288604899</v>
      </c>
      <c r="H14" s="14">
        <f t="shared" si="3"/>
        <v>0.08549829879</v>
      </c>
      <c r="I14" s="14">
        <f t="shared" si="7"/>
        <v>208.4576772</v>
      </c>
      <c r="K14" s="35">
        <f t="shared" si="5"/>
        <v>1.55</v>
      </c>
      <c r="M14" s="14">
        <f t="shared" si="6"/>
        <v>0.1325223631</v>
      </c>
      <c r="N14" s="13">
        <f>LIB!D28</f>
        <v>0.8400770713</v>
      </c>
    </row>
    <row r="15">
      <c r="A15" s="33" t="str">
        <f>LIB!A29</f>
        <v>google / cpc</v>
      </c>
      <c r="B15" s="34">
        <f>LIB!B29</f>
        <v>44047</v>
      </c>
      <c r="C15" s="14">
        <f>LIB!G29</f>
        <v>124.194254</v>
      </c>
      <c r="D15" s="14">
        <f t="shared" si="1"/>
        <v>149.0331048</v>
      </c>
      <c r="E15" s="33">
        <f>LIB!E29</f>
        <v>13118</v>
      </c>
      <c r="F15" s="33">
        <f>LIB!F29</f>
        <v>1690</v>
      </c>
      <c r="G15" s="13">
        <f t="shared" si="2"/>
        <v>0.1288306144</v>
      </c>
      <c r="H15" s="14">
        <f t="shared" si="3"/>
        <v>0.08818526911</v>
      </c>
      <c r="I15" s="14">
        <f t="shared" si="7"/>
        <v>231.0013124</v>
      </c>
      <c r="K15" s="35">
        <f t="shared" si="5"/>
        <v>1.55</v>
      </c>
      <c r="M15" s="14">
        <f t="shared" si="6"/>
        <v>0.1366871671</v>
      </c>
      <c r="N15" s="13">
        <f>LIB!D29</f>
        <v>0.8496807893</v>
      </c>
    </row>
    <row r="16">
      <c r="A16" s="33" t="str">
        <f>LIB!A30</f>
        <v>google / cpc</v>
      </c>
      <c r="B16" s="34">
        <f>LIB!B30</f>
        <v>44048</v>
      </c>
      <c r="C16" s="14">
        <f>LIB!G30</f>
        <v>132.075717</v>
      </c>
      <c r="D16" s="14">
        <f t="shared" si="1"/>
        <v>158.4908604</v>
      </c>
      <c r="E16" s="33">
        <f>LIB!E30</f>
        <v>13344</v>
      </c>
      <c r="F16" s="33">
        <f>LIB!F30</f>
        <v>1699</v>
      </c>
      <c r="G16" s="13">
        <f t="shared" si="2"/>
        <v>0.1273231415</v>
      </c>
      <c r="H16" s="14">
        <f t="shared" si="3"/>
        <v>0.09328479129</v>
      </c>
      <c r="I16" s="14">
        <f t="shared" si="7"/>
        <v>245.6608336</v>
      </c>
      <c r="K16" s="35">
        <f t="shared" si="5"/>
        <v>1.55</v>
      </c>
      <c r="M16" s="14">
        <f t="shared" si="6"/>
        <v>0.1445914265</v>
      </c>
      <c r="N16" s="13">
        <f>LIB!D30</f>
        <v>0.8560287942</v>
      </c>
    </row>
    <row r="17">
      <c r="A17" s="33" t="str">
        <f>LIB!A31</f>
        <v>google / cpc</v>
      </c>
      <c r="B17" s="34">
        <f>LIB!B31</f>
        <v>44049</v>
      </c>
      <c r="C17" s="14">
        <f>LIB!G31</f>
        <v>126.864684</v>
      </c>
      <c r="D17" s="14">
        <f t="shared" si="1"/>
        <v>152.2376208</v>
      </c>
      <c r="E17" s="33">
        <f>LIB!E31</f>
        <v>14124</v>
      </c>
      <c r="F17" s="33">
        <f>LIB!F31</f>
        <v>1821</v>
      </c>
      <c r="G17" s="13">
        <f t="shared" si="2"/>
        <v>0.1289294817</v>
      </c>
      <c r="H17" s="14">
        <f t="shared" si="3"/>
        <v>0.08360110972</v>
      </c>
      <c r="I17" s="14">
        <f>D17*1.15</f>
        <v>175.0732639</v>
      </c>
      <c r="K17" s="35">
        <f t="shared" si="5"/>
        <v>1.15</v>
      </c>
      <c r="M17" s="14">
        <f t="shared" si="6"/>
        <v>0.09614127618</v>
      </c>
      <c r="N17" s="13">
        <f>LIB!D31</f>
        <v>0.8566739606</v>
      </c>
    </row>
    <row r="18">
      <c r="A18" s="33" t="str">
        <f>LIB!A32</f>
        <v>google / cpc</v>
      </c>
      <c r="B18" s="34">
        <f>LIB!B32</f>
        <v>44050</v>
      </c>
      <c r="C18" s="14">
        <f>LIB!G32</f>
        <v>128.064794</v>
      </c>
      <c r="D18" s="14">
        <f t="shared" si="1"/>
        <v>153.6777528</v>
      </c>
      <c r="E18" s="33">
        <f>LIB!E32</f>
        <v>14432</v>
      </c>
      <c r="F18" s="33">
        <f>LIB!F32</f>
        <v>1656</v>
      </c>
      <c r="G18" s="13">
        <f t="shared" si="2"/>
        <v>0.1147450111</v>
      </c>
      <c r="H18" s="14">
        <f t="shared" si="3"/>
        <v>0.09280057536</v>
      </c>
      <c r="I18" s="14">
        <f>D18*1.33</f>
        <v>204.3914112</v>
      </c>
      <c r="K18" s="35">
        <f t="shared" si="5"/>
        <v>1.33</v>
      </c>
      <c r="M18" s="14">
        <f t="shared" si="6"/>
        <v>0.1234247652</v>
      </c>
      <c r="N18" s="13">
        <f>LIB!D32</f>
        <v>0.8572285543</v>
      </c>
    </row>
    <row r="19">
      <c r="A19" s="33" t="str">
        <f>LIB!A33</f>
        <v>google / cpc</v>
      </c>
      <c r="B19" s="34">
        <f>LIB!B33</f>
        <v>44051</v>
      </c>
      <c r="C19" s="14">
        <f>LIB!G33</f>
        <v>129.241598</v>
      </c>
      <c r="D19" s="14">
        <f t="shared" si="1"/>
        <v>155.0899176</v>
      </c>
      <c r="E19" s="33">
        <f>LIB!E33</f>
        <v>13155</v>
      </c>
      <c r="F19" s="33">
        <f>LIB!F33</f>
        <v>1621</v>
      </c>
      <c r="G19" s="13">
        <f t="shared" si="2"/>
        <v>0.1232231091</v>
      </c>
      <c r="H19" s="14">
        <f t="shared" si="3"/>
        <v>0.09567545811</v>
      </c>
      <c r="I19" s="14">
        <f>D19*1.3544</f>
        <v>210.0537844</v>
      </c>
      <c r="K19" s="35">
        <f t="shared" si="5"/>
        <v>1.3544</v>
      </c>
      <c r="M19" s="14">
        <f t="shared" si="6"/>
        <v>0.1295828405</v>
      </c>
      <c r="N19" s="13">
        <f>LIB!D33</f>
        <v>0.8673594132</v>
      </c>
    </row>
    <row r="20">
      <c r="A20" s="33" t="str">
        <f>LIB!A34</f>
        <v>google / cpc</v>
      </c>
      <c r="B20" s="34">
        <f>LIB!B34</f>
        <v>44052</v>
      </c>
      <c r="C20" s="14">
        <f>LIB!G34</f>
        <v>112.431284</v>
      </c>
      <c r="D20" s="14">
        <f t="shared" si="1"/>
        <v>134.9175408</v>
      </c>
      <c r="E20" s="33">
        <f>LIB!E34</f>
        <v>12821</v>
      </c>
      <c r="F20" s="33">
        <f>LIB!F34</f>
        <v>1555</v>
      </c>
      <c r="G20" s="13">
        <f t="shared" si="2"/>
        <v>0.1212853912</v>
      </c>
      <c r="H20" s="14">
        <f t="shared" si="3"/>
        <v>0.08676369183</v>
      </c>
      <c r="I20" s="14">
        <f>D20*1.55</f>
        <v>209.1221882</v>
      </c>
      <c r="K20" s="35">
        <f t="shared" si="5"/>
        <v>1.55</v>
      </c>
      <c r="M20" s="14">
        <f t="shared" si="6"/>
        <v>0.1344837223</v>
      </c>
      <c r="N20" s="13">
        <f>LIB!D34</f>
        <v>0.8535031847</v>
      </c>
    </row>
    <row r="21">
      <c r="A21" s="33" t="str">
        <f>LIB!A35</f>
        <v>google / cpc</v>
      </c>
      <c r="B21" s="34">
        <f>LIB!B35</f>
        <v>44053</v>
      </c>
      <c r="C21" s="14">
        <f>LIB!G35</f>
        <v>114.162902</v>
      </c>
      <c r="D21" s="14">
        <f t="shared" si="1"/>
        <v>136.9954824</v>
      </c>
      <c r="E21" s="33">
        <f>LIB!E35</f>
        <v>13595</v>
      </c>
      <c r="F21" s="33">
        <f>LIB!F35</f>
        <v>1537</v>
      </c>
      <c r="G21" s="13">
        <f t="shared" si="2"/>
        <v>0.1130562707</v>
      </c>
      <c r="H21" s="14">
        <f t="shared" si="3"/>
        <v>0.08913173871</v>
      </c>
      <c r="I21" s="14">
        <f>D21*1.5545</f>
        <v>212.9594774</v>
      </c>
      <c r="K21" s="35">
        <f t="shared" si="5"/>
        <v>1.5545</v>
      </c>
      <c r="M21" s="14">
        <f t="shared" si="6"/>
        <v>0.1385552878</v>
      </c>
      <c r="N21" s="13">
        <f>LIB!D35</f>
        <v>0.8515878159</v>
      </c>
    </row>
    <row r="22">
      <c r="A22" s="33" t="str">
        <f>LIB!A36</f>
        <v>google / cpc</v>
      </c>
      <c r="B22" s="34">
        <f>LIB!B36</f>
        <v>44054</v>
      </c>
      <c r="C22" s="14">
        <f>LIB!G36</f>
        <v>122.74724</v>
      </c>
      <c r="D22" s="14">
        <f t="shared" si="1"/>
        <v>147.296688</v>
      </c>
      <c r="E22" s="33">
        <f>LIB!E36</f>
        <v>14359</v>
      </c>
      <c r="F22" s="33">
        <f>LIB!F36</f>
        <v>1618</v>
      </c>
      <c r="G22" s="13">
        <f t="shared" si="2"/>
        <v>0.1126819416</v>
      </c>
      <c r="H22" s="14">
        <f t="shared" si="3"/>
        <v>0.09103627194</v>
      </c>
      <c r="I22" s="14">
        <f t="shared" ref="I22:I25" si="8">D22*1.55</f>
        <v>228.3098664</v>
      </c>
      <c r="K22" s="35">
        <f t="shared" si="5"/>
        <v>1.55</v>
      </c>
      <c r="M22" s="14">
        <f t="shared" si="6"/>
        <v>0.1411062215</v>
      </c>
      <c r="N22" s="13">
        <f>LIB!D36</f>
        <v>0.8445404072</v>
      </c>
    </row>
    <row r="23">
      <c r="A23" s="33" t="str">
        <f>LIB!A37</f>
        <v>google / cpc</v>
      </c>
      <c r="B23" s="34">
        <f>LIB!B37</f>
        <v>44055</v>
      </c>
      <c r="C23" s="14">
        <f>LIB!G37</f>
        <v>126.451075</v>
      </c>
      <c r="D23" s="14">
        <f t="shared" si="1"/>
        <v>151.74129</v>
      </c>
      <c r="E23" s="33">
        <f>LIB!E37</f>
        <v>13699</v>
      </c>
      <c r="F23" s="33">
        <f>LIB!F37</f>
        <v>1610</v>
      </c>
      <c r="G23" s="13">
        <f t="shared" si="2"/>
        <v>0.1175268268</v>
      </c>
      <c r="H23" s="14">
        <f t="shared" si="3"/>
        <v>0.09424924845</v>
      </c>
      <c r="I23" s="14">
        <f t="shared" si="8"/>
        <v>235.1989995</v>
      </c>
      <c r="K23" s="35">
        <f t="shared" si="5"/>
        <v>1.55</v>
      </c>
      <c r="M23" s="14">
        <f t="shared" si="6"/>
        <v>0.1460863351</v>
      </c>
      <c r="N23" s="13">
        <f>LIB!D37</f>
        <v>0.8528510116</v>
      </c>
    </row>
    <row r="24">
      <c r="A24" s="33" t="str">
        <f>LIB!A38</f>
        <v>google / cpc</v>
      </c>
      <c r="B24" s="34">
        <f>LIB!B38</f>
        <v>44056</v>
      </c>
      <c r="C24" s="14">
        <f>LIB!G38</f>
        <v>121.531775</v>
      </c>
      <c r="D24" s="14">
        <f t="shared" si="1"/>
        <v>145.83813</v>
      </c>
      <c r="E24" s="33">
        <f>LIB!E38</f>
        <v>13655</v>
      </c>
      <c r="F24" s="33">
        <f>LIB!F38</f>
        <v>1546</v>
      </c>
      <c r="G24" s="13">
        <f t="shared" si="2"/>
        <v>0.1132186012</v>
      </c>
      <c r="H24" s="14">
        <f t="shared" si="3"/>
        <v>0.09433255498</v>
      </c>
      <c r="I24" s="14">
        <f t="shared" si="8"/>
        <v>226.0491015</v>
      </c>
      <c r="K24" s="35">
        <f t="shared" si="5"/>
        <v>1.55</v>
      </c>
      <c r="M24" s="14">
        <f t="shared" si="6"/>
        <v>0.1462154602</v>
      </c>
      <c r="N24" s="13">
        <f>LIB!D38</f>
        <v>0.859344894</v>
      </c>
    </row>
    <row r="25">
      <c r="A25" s="33" t="str">
        <f>LIB!A39</f>
        <v>google / cpc</v>
      </c>
      <c r="B25" s="34">
        <f>LIB!B39</f>
        <v>44057</v>
      </c>
      <c r="C25" s="14">
        <f>LIB!G39</f>
        <v>119.681023</v>
      </c>
      <c r="D25" s="14">
        <f t="shared" si="1"/>
        <v>143.6172276</v>
      </c>
      <c r="E25" s="33">
        <f>LIB!E39</f>
        <v>12870</v>
      </c>
      <c r="F25" s="33">
        <f>LIB!F39</f>
        <v>1489</v>
      </c>
      <c r="G25" s="13">
        <f t="shared" si="2"/>
        <v>0.1156954157</v>
      </c>
      <c r="H25" s="14">
        <f t="shared" si="3"/>
        <v>0.09645213405</v>
      </c>
      <c r="I25" s="14">
        <f t="shared" si="8"/>
        <v>222.6067028</v>
      </c>
      <c r="K25" s="35">
        <f t="shared" si="5"/>
        <v>1.55</v>
      </c>
      <c r="M25" s="14">
        <f t="shared" si="6"/>
        <v>0.1495008078</v>
      </c>
      <c r="N25" s="13">
        <f>LIB!D39</f>
        <v>0.838</v>
      </c>
    </row>
    <row r="26">
      <c r="A26" s="33" t="str">
        <f>LIB!A40</f>
        <v>google / cpc</v>
      </c>
      <c r="B26" s="34">
        <f>LIB!B40</f>
        <v>44058</v>
      </c>
      <c r="C26" s="14">
        <f>LIB!G40</f>
        <v>106.665847</v>
      </c>
      <c r="D26" s="14">
        <f t="shared" si="1"/>
        <v>127.9990164</v>
      </c>
      <c r="E26" s="33">
        <f>LIB!E40</f>
        <v>11154</v>
      </c>
      <c r="F26" s="33">
        <f>LIB!F40</f>
        <v>1358</v>
      </c>
      <c r="G26" s="13">
        <f t="shared" si="2"/>
        <v>0.1217500448</v>
      </c>
      <c r="H26" s="14">
        <f t="shared" si="3"/>
        <v>0.0942555349</v>
      </c>
      <c r="I26" s="14">
        <f>D26*1.11</f>
        <v>142.0789082</v>
      </c>
      <c r="K26" s="35">
        <f t="shared" si="5"/>
        <v>1.11</v>
      </c>
      <c r="M26" s="14">
        <f t="shared" si="6"/>
        <v>0.1046236437</v>
      </c>
      <c r="N26" s="13">
        <f>LIB!D40</f>
        <v>0.8421052632</v>
      </c>
    </row>
    <row r="27">
      <c r="A27" s="33" t="str">
        <f>LIB!A41</f>
        <v>google / cpc</v>
      </c>
      <c r="B27" s="34">
        <f>LIB!B41</f>
        <v>44059</v>
      </c>
      <c r="C27" s="14">
        <f>LIB!G41</f>
        <v>124.697247</v>
      </c>
      <c r="D27" s="14">
        <f t="shared" si="1"/>
        <v>149.6366964</v>
      </c>
      <c r="E27" s="33">
        <f>LIB!E41</f>
        <v>12713</v>
      </c>
      <c r="F27" s="33">
        <f>LIB!F41</f>
        <v>1495</v>
      </c>
      <c r="G27" s="13">
        <f t="shared" si="2"/>
        <v>0.1175961614</v>
      </c>
      <c r="H27" s="14">
        <f t="shared" si="3"/>
        <v>0.1000914357</v>
      </c>
      <c r="I27" s="14">
        <f>D27*1.22</f>
        <v>182.5567696</v>
      </c>
      <c r="K27" s="35">
        <f t="shared" si="5"/>
        <v>1.22</v>
      </c>
      <c r="M27" s="14">
        <f t="shared" si="6"/>
        <v>0.1221115516</v>
      </c>
      <c r="N27" s="13">
        <f>LIB!D41</f>
        <v>0.8647375505</v>
      </c>
    </row>
    <row r="28">
      <c r="A28" s="33" t="str">
        <f>LIB!A42</f>
        <v>google / cpc</v>
      </c>
      <c r="B28" s="34">
        <f>LIB!B42</f>
        <v>44060</v>
      </c>
      <c r="C28" s="14">
        <f>LIB!G42</f>
        <v>104.110301</v>
      </c>
      <c r="D28" s="14">
        <f t="shared" si="1"/>
        <v>124.9323612</v>
      </c>
      <c r="E28" s="33">
        <f>LIB!E42</f>
        <v>12847</v>
      </c>
      <c r="F28" s="33">
        <f>LIB!F42</f>
        <v>1409</v>
      </c>
      <c r="G28" s="13">
        <f t="shared" si="2"/>
        <v>0.1096754106</v>
      </c>
      <c r="H28" s="14">
        <f t="shared" si="3"/>
        <v>0.08866739617</v>
      </c>
      <c r="I28" s="14">
        <f>D28*1.66</f>
        <v>207.3877196</v>
      </c>
      <c r="K28" s="35">
        <f t="shared" si="5"/>
        <v>1.66</v>
      </c>
      <c r="M28" s="14">
        <f t="shared" si="6"/>
        <v>0.1471878776</v>
      </c>
      <c r="N28" s="13">
        <f>LIB!D42</f>
        <v>0.863832853</v>
      </c>
    </row>
    <row r="29">
      <c r="A29" s="33" t="str">
        <f>LIB!A43</f>
        <v>google / cpc</v>
      </c>
      <c r="B29" s="34">
        <f>LIB!B43</f>
        <v>44061</v>
      </c>
      <c r="C29" s="14">
        <f>LIB!G43</f>
        <v>117.3281</v>
      </c>
      <c r="D29" s="14">
        <f t="shared" si="1"/>
        <v>140.79372</v>
      </c>
      <c r="E29" s="33">
        <f>LIB!E43</f>
        <v>13187</v>
      </c>
      <c r="F29" s="33">
        <f>LIB!F43</f>
        <v>1518</v>
      </c>
      <c r="G29" s="13">
        <f t="shared" si="2"/>
        <v>0.1151133692</v>
      </c>
      <c r="H29" s="14">
        <f t="shared" si="3"/>
        <v>0.09274948617</v>
      </c>
      <c r="I29" s="14">
        <f>D29*1.55</f>
        <v>218.230266</v>
      </c>
      <c r="K29" s="35">
        <f t="shared" si="5"/>
        <v>1.55</v>
      </c>
      <c r="M29" s="14">
        <f t="shared" si="6"/>
        <v>0.1437617036</v>
      </c>
      <c r="N29" s="13">
        <f>LIB!D43</f>
        <v>0.8408941486</v>
      </c>
    </row>
    <row r="30">
      <c r="A30" s="33" t="str">
        <f>LIB!A44</f>
        <v>google / cpc</v>
      </c>
      <c r="B30" s="34">
        <f>LIB!B44</f>
        <v>44062</v>
      </c>
      <c r="C30" s="14">
        <f>LIB!G44</f>
        <v>118.504767</v>
      </c>
      <c r="D30" s="14">
        <f t="shared" si="1"/>
        <v>142.2057204</v>
      </c>
      <c r="E30" s="33">
        <f>LIB!E44</f>
        <v>13079</v>
      </c>
      <c r="F30" s="33">
        <f>LIB!F44</f>
        <v>1519</v>
      </c>
      <c r="G30" s="13">
        <f t="shared" si="2"/>
        <v>0.1161403777</v>
      </c>
      <c r="H30" s="14">
        <f t="shared" si="3"/>
        <v>0.09361798578</v>
      </c>
      <c r="I30" s="14">
        <f>D30*3</f>
        <v>426.6171612</v>
      </c>
      <c r="K30" s="35">
        <f t="shared" si="5"/>
        <v>3</v>
      </c>
      <c r="M30" s="14">
        <f t="shared" si="6"/>
        <v>0.2808539573</v>
      </c>
      <c r="N30" s="13">
        <f>LIB!D44</f>
        <v>0.8442838371</v>
      </c>
    </row>
    <row r="31">
      <c r="A31" s="33" t="str">
        <f>LIB!A45</f>
        <v>google / cpc</v>
      </c>
      <c r="B31" s="34">
        <f>LIB!B45</f>
        <v>44063</v>
      </c>
      <c r="C31" s="14">
        <f>LIB!G45</f>
        <v>123.75542</v>
      </c>
      <c r="D31" s="14">
        <f t="shared" si="1"/>
        <v>148.506504</v>
      </c>
      <c r="E31" s="33">
        <f>LIB!E45</f>
        <v>13840</v>
      </c>
      <c r="F31" s="33">
        <f>LIB!F45</f>
        <v>1494</v>
      </c>
      <c r="G31" s="13">
        <f t="shared" si="2"/>
        <v>0.1079479769</v>
      </c>
      <c r="H31" s="14">
        <f t="shared" si="3"/>
        <v>0.09940194378</v>
      </c>
      <c r="I31" s="14">
        <f>D31*2</f>
        <v>297.013008</v>
      </c>
      <c r="K31" s="35">
        <f t="shared" si="5"/>
        <v>2</v>
      </c>
      <c r="M31" s="14">
        <f t="shared" si="6"/>
        <v>0.1988038876</v>
      </c>
      <c r="N31" s="13">
        <f>LIB!D45</f>
        <v>0.8545935228</v>
      </c>
    </row>
    <row r="32">
      <c r="A32" s="33" t="str">
        <f>LIB!A46</f>
        <v/>
      </c>
      <c r="B32" s="33" t="str">
        <f>LIB!B46</f>
        <v/>
      </c>
      <c r="N32" s="13" t="str">
        <f>LIB!D46</f>
        <v/>
      </c>
    </row>
    <row r="33">
      <c r="A33" s="33" t="str">
        <f>LIB!A47</f>
        <v/>
      </c>
      <c r="B33" s="33" t="str">
        <f>LIB!B47</f>
        <v/>
      </c>
    </row>
    <row r="34">
      <c r="B34" s="33" t="str">
        <f>LIB!B48</f>
        <v/>
      </c>
    </row>
    <row r="35">
      <c r="B35" s="33" t="str">
        <f>LIB!B49</f>
        <v/>
      </c>
    </row>
    <row r="36">
      <c r="B36" s="33" t="str">
        <f>LIB!B50</f>
        <v/>
      </c>
    </row>
    <row r="37">
      <c r="B37" s="33" t="str">
        <f>LIB!B51</f>
        <v/>
      </c>
    </row>
    <row r="38">
      <c r="B38" s="33" t="str">
        <f>LIB!B52</f>
        <v/>
      </c>
    </row>
    <row r="39">
      <c r="B39" s="33" t="str">
        <f>LIB!B53</f>
        <v/>
      </c>
    </row>
    <row r="40">
      <c r="B40" s="33" t="str">
        <f>LIB!B54</f>
        <v/>
      </c>
    </row>
    <row r="41">
      <c r="B41" s="33" t="str">
        <f>LIB!B55</f>
        <v/>
      </c>
    </row>
    <row r="42">
      <c r="B42" s="33" t="str">
        <f>LIB!B56</f>
        <v/>
      </c>
    </row>
  </sheetData>
  <conditionalFormatting sqref="H2:H31">
    <cfRule type="colorScale" priority="1">
      <colorScale>
        <cfvo type="min"/>
        <cfvo type="max"/>
        <color rgb="FF57BB8A"/>
        <color rgb="FFFFFFFF"/>
      </colorScale>
    </cfRule>
  </conditionalFormatting>
  <conditionalFormatting sqref="G2:G31">
    <cfRule type="colorScale" priority="2">
      <colorScale>
        <cfvo type="min"/>
        <cfvo type="max"/>
        <color rgb="FF674EA7"/>
        <color rgb="FFD9D2E9"/>
      </colorScale>
    </cfRule>
  </conditionalFormatting>
  <conditionalFormatting sqref="N1:N1000">
    <cfRule type="colorScale" priority="3">
      <colorScale>
        <cfvo type="min"/>
        <cfvo type="max"/>
        <color rgb="FFF3F3F3"/>
        <color rgb="FFA64D79"/>
      </colorScale>
    </cfRule>
  </conditionalFormatting>
  <conditionalFormatting sqref="K2:K31">
    <cfRule type="colorScale" priority="4">
      <colorScale>
        <cfvo type="min"/>
        <cfvo type="max"/>
        <color rgb="FF3D85C6"/>
        <color rgb="FFEFEFEF"/>
      </colorScale>
    </cfRule>
  </conditionalFormatting>
  <drawing r:id="rId2"/>
  <legacyDrawing r:id="rId3"/>
</worksheet>
</file>